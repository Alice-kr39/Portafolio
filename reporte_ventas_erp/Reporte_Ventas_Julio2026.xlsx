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e8fa420c56b106d/Recursos analisis de datos/"/>
    </mc:Choice>
  </mc:AlternateContent>
  <xr:revisionPtr revIDLastSave="54" documentId="11_3E7EF53F234F98BE22AD7CC05D8215EB8C9FC0C0" xr6:coauthVersionLast="47" xr6:coauthVersionMax="47" xr10:uidLastSave="{3BA5C402-7C15-40C4-AED6-931261CAB978}"/>
  <bookViews>
    <workbookView xWindow="-98" yWindow="-98" windowWidth="22695" windowHeight="14476" tabRatio="500" xr2:uid="{00000000-000D-0000-FFFF-FFFF00000000}"/>
  </bookViews>
  <sheets>
    <sheet name="Resumen" sheetId="1" r:id="rId1"/>
    <sheet name="Datos_ERP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1" l="1"/>
  <c r="D39" i="1"/>
  <c r="E38" i="1"/>
  <c r="D38" i="1"/>
  <c r="E37" i="1"/>
  <c r="D37" i="1"/>
  <c r="E36" i="1"/>
  <c r="D36" i="1"/>
  <c r="E35" i="1"/>
  <c r="D35" i="1"/>
  <c r="E30" i="1"/>
  <c r="D30" i="1"/>
  <c r="E29" i="1"/>
  <c r="D29" i="1"/>
  <c r="E28" i="1"/>
  <c r="D28" i="1"/>
  <c r="E27" i="1"/>
  <c r="D27" i="1"/>
  <c r="E26" i="1"/>
  <c r="D26" i="1"/>
  <c r="E21" i="1"/>
  <c r="D21" i="1"/>
  <c r="E20" i="1"/>
  <c r="D20" i="1"/>
  <c r="E19" i="1"/>
  <c r="D19" i="1"/>
  <c r="E18" i="1"/>
  <c r="D18" i="1"/>
  <c r="E17" i="1"/>
  <c r="D17" i="1"/>
  <c r="E9" i="1"/>
  <c r="C9" i="1"/>
  <c r="F20" i="1" l="1"/>
  <c r="F17" i="1"/>
  <c r="F21" i="1"/>
  <c r="F19" i="1"/>
  <c r="F18" i="1"/>
  <c r="I9" i="1"/>
  <c r="G9" i="1"/>
</calcChain>
</file>

<file path=xl/sharedStrings.xml><?xml version="1.0" encoding="utf-8"?>
<sst xmlns="http://schemas.openxmlformats.org/spreadsheetml/2006/main" count="960" uniqueCount="61">
  <si>
    <t>VENTAS TOTALES JULIO</t>
  </si>
  <si>
    <t>VENTAS TOTALES JUNIO</t>
  </si>
  <si>
    <t>VARIACIÓN % MES</t>
  </si>
  <si>
    <t>TICKET PROMEDIO JULIO</t>
  </si>
  <si>
    <t>Categoría</t>
  </si>
  <si>
    <t>Julio 2026</t>
  </si>
  <si>
    <t>Junio 2026</t>
  </si>
  <si>
    <t>Variación %</t>
  </si>
  <si>
    <t>Electricidad</t>
  </si>
  <si>
    <t>Herramientas</t>
  </si>
  <si>
    <t>Materiales</t>
  </si>
  <si>
    <t>Pinturas</t>
  </si>
  <si>
    <t>Plomería</t>
  </si>
  <si>
    <t>Producto</t>
  </si>
  <si>
    <t>Monto Vendido</t>
  </si>
  <si>
    <t>Unidades</t>
  </si>
  <si>
    <t>Taladro Percutor 750W</t>
  </si>
  <si>
    <t>Cable THW 10AWG (rollo)</t>
  </si>
  <si>
    <t>Pintura Vinílica 19L</t>
  </si>
  <si>
    <t>Set Destornilladores 12pz</t>
  </si>
  <si>
    <t>Tubo PVC 4" 6m</t>
  </si>
  <si>
    <t>Vendedor</t>
  </si>
  <si>
    <t>Ventas Julio</t>
  </si>
  <si>
    <t># Ventas</t>
  </si>
  <si>
    <t>Jorge Pech</t>
  </si>
  <si>
    <t>Luis Medina</t>
  </si>
  <si>
    <t>Ana Torres</t>
  </si>
  <si>
    <t>Marta Uc</t>
  </si>
  <si>
    <t>Carla Nuñez</t>
  </si>
  <si>
    <t>Nota: datos simulados para fines de demostración (Datos_ERP). En un ERP real este reporte se conectaría a las tablas de facturación/pedidos.</t>
  </si>
  <si>
    <t>ID_Venta</t>
  </si>
  <si>
    <t>Fecha</t>
  </si>
  <si>
    <t>Cliente</t>
  </si>
  <si>
    <t>Categoria</t>
  </si>
  <si>
    <t>Cantidad</t>
  </si>
  <si>
    <t>Precio_Unitario</t>
  </si>
  <si>
    <t>Total</t>
  </si>
  <si>
    <t>Region</t>
  </si>
  <si>
    <t>Tienda Xa'an</t>
  </si>
  <si>
    <t>Cancún</t>
  </si>
  <si>
    <t>Constructora Balam</t>
  </si>
  <si>
    <t>Comercial del Sur</t>
  </si>
  <si>
    <t>Mérida</t>
  </si>
  <si>
    <t>Distribuidora Maya</t>
  </si>
  <si>
    <t>Grupo Interior</t>
  </si>
  <si>
    <t>Cemento Gris 50kg</t>
  </si>
  <si>
    <t>Casco de Seguridad</t>
  </si>
  <si>
    <t>Campeche</t>
  </si>
  <si>
    <t>Silicón Industrial</t>
  </si>
  <si>
    <t>Mueblería Ceiba</t>
  </si>
  <si>
    <t>Guantes Industriales</t>
  </si>
  <si>
    <t>Abarrotes Kin</t>
  </si>
  <si>
    <t>Electro Uxmal</t>
  </si>
  <si>
    <t>Foco LED 12W</t>
  </si>
  <si>
    <t>Ferretería Poot</t>
  </si>
  <si>
    <t>Papelería Chac</t>
  </si>
  <si>
    <t>Ventas por Categoría Julio vs Junio</t>
  </si>
  <si>
    <t>Reporte de Ventas   Julio 2026</t>
  </si>
  <si>
    <t>Top 5 Productos Julio 2026</t>
  </si>
  <si>
    <t>Ranking de Vendedores Julio 2026</t>
  </si>
  <si>
    <t>Fuente: Datos_ERP   |  Corte al 24/07/2026  |  Comparativo vs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</si>
</sst>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+0.0%;\-0.0%"/>
    <numFmt numFmtId="166" formatCode="0.0%"/>
    <numFmt numFmtId="167" formatCode="\$#,##0.00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666666"/>
      <name val="Arial"/>
      <charset val="1"/>
    </font>
    <font>
      <sz val="10"/>
      <color rgb="FF666666"/>
      <name val="Arial"/>
      <charset val="1"/>
    </font>
    <font>
      <b/>
      <sz val="18"/>
      <color rgb="FF1F3864"/>
      <name val="Arial"/>
      <charset val="1"/>
    </font>
    <font>
      <b/>
      <sz val="18"/>
      <color rgb="FF2E7D32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888888"/>
      <name val="Arial"/>
      <charset val="1"/>
    </font>
    <font>
      <i/>
      <sz val="10"/>
      <color rgb="FF6666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000"/>
        <bgColor rgb="FF333333"/>
      </patternFill>
    </fill>
    <fill>
      <patternFill patternType="solid">
        <fgColor theme="3" tint="0.39997558519241921"/>
        <bgColor rgb="FF333333"/>
      </patternFill>
    </fill>
    <fill>
      <patternFill patternType="solid">
        <fgColor rgb="FF92D050"/>
        <bgColor rgb="FF333333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5" fillId="0" borderId="0" xfId="0" applyNumberFormat="1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  <xf numFmtId="166" fontId="8" fillId="0" borderId="1" xfId="0" applyNumberFormat="1" applyFont="1" applyBorder="1"/>
    <xf numFmtId="0" fontId="9" fillId="0" borderId="0" xfId="0" applyFont="1"/>
    <xf numFmtId="14" fontId="8" fillId="0" borderId="1" xfId="0" applyNumberFormat="1" applyFont="1" applyBorder="1"/>
    <xf numFmtId="167" fontId="8" fillId="0" borderId="1" xfId="0" applyNumberFormat="1" applyFont="1" applyBorder="1"/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6" borderId="0" xfId="0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888888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Ventas por Categoría: Julio vs Junio 2026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Resumen!$D$16</c:f>
              <c:strCache>
                <c:ptCount val="1"/>
                <c:pt idx="0">
                  <c:v>Julio 2026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Resumen!$C$17:$C$21</c:f>
              <c:strCache>
                <c:ptCount val="5"/>
                <c:pt idx="0">
                  <c:v>Electricidad</c:v>
                </c:pt>
                <c:pt idx="1">
                  <c:v>Herramientas</c:v>
                </c:pt>
                <c:pt idx="2">
                  <c:v>Materiales</c:v>
                </c:pt>
                <c:pt idx="3">
                  <c:v>Pinturas</c:v>
                </c:pt>
                <c:pt idx="4">
                  <c:v>Plomería</c:v>
                </c:pt>
              </c:strCache>
            </c:strRef>
          </c:cat>
          <c:val>
            <c:numRef>
              <c:f>Resumen!$D$17:$D$21</c:f>
              <c:numCache>
                <c:formatCode>\$#,##0</c:formatCode>
                <c:ptCount val="5"/>
                <c:pt idx="0">
                  <c:v>82574.16</c:v>
                </c:pt>
                <c:pt idx="1">
                  <c:v>118095.06</c:v>
                </c:pt>
                <c:pt idx="2">
                  <c:v>14628.25</c:v>
                </c:pt>
                <c:pt idx="3">
                  <c:v>32130.959999999999</c:v>
                </c:pt>
                <c:pt idx="4">
                  <c:v>18616.43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6-4454-821E-96CE5C07FE63}"/>
            </c:ext>
          </c:extLst>
        </c:ser>
        <c:ser>
          <c:idx val="1"/>
          <c:order val="1"/>
          <c:tx>
            <c:strRef>
              <c:f>Resumen!$E$16</c:f>
              <c:strCache>
                <c:ptCount val="1"/>
                <c:pt idx="0">
                  <c:v>Junio 2026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Resumen!$C$17:$C$21</c:f>
              <c:strCache>
                <c:ptCount val="5"/>
                <c:pt idx="0">
                  <c:v>Electricidad</c:v>
                </c:pt>
                <c:pt idx="1">
                  <c:v>Herramientas</c:v>
                </c:pt>
                <c:pt idx="2">
                  <c:v>Materiales</c:v>
                </c:pt>
                <c:pt idx="3">
                  <c:v>Pinturas</c:v>
                </c:pt>
                <c:pt idx="4">
                  <c:v>Plomería</c:v>
                </c:pt>
              </c:strCache>
            </c:strRef>
          </c:cat>
          <c:val>
            <c:numRef>
              <c:f>Resumen!$E$17:$E$21</c:f>
              <c:numCache>
                <c:formatCode>\$#,##0</c:formatCode>
                <c:ptCount val="5"/>
                <c:pt idx="0">
                  <c:v>58478.87</c:v>
                </c:pt>
                <c:pt idx="1">
                  <c:v>104392.73000000001</c:v>
                </c:pt>
                <c:pt idx="2">
                  <c:v>27462.489999999994</c:v>
                </c:pt>
                <c:pt idx="3">
                  <c:v>49779.22</c:v>
                </c:pt>
                <c:pt idx="4">
                  <c:v>24932.34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6-4454-821E-96CE5C07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60153"/>
        <c:axId val="29330768"/>
      </c:barChart>
      <c:catAx>
        <c:axId val="53860153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Categoría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MX"/>
          </a:p>
        </c:txPr>
        <c:crossAx val="29330768"/>
        <c:crosses val="autoZero"/>
        <c:auto val="1"/>
        <c:lblAlgn val="ctr"/>
        <c:lblOffset val="100"/>
        <c:noMultiLvlLbl val="0"/>
      </c:catAx>
      <c:valAx>
        <c:axId val="2933076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s-MX"/>
            </a:p>
          </c:txPr>
        </c:title>
        <c:numFmt formatCode="\$#,##0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MX"/>
          </a:p>
        </c:txPr>
        <c:crossAx val="53860153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5</xdr:row>
      <xdr:rowOff>66676</xdr:rowOff>
    </xdr:from>
    <xdr:to>
      <xdr:col>3</xdr:col>
      <xdr:colOff>490538</xdr:colOff>
      <xdr:row>11</xdr:row>
      <xdr:rowOff>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2F2378BE-DE85-7A87-7450-20E40FA8FBEA}"/>
            </a:ext>
          </a:extLst>
        </xdr:cNvPr>
        <xdr:cNvSpPr/>
      </xdr:nvSpPr>
      <xdr:spPr>
        <a:xfrm>
          <a:off x="1076325" y="1133476"/>
          <a:ext cx="2652713" cy="1123950"/>
        </a:xfrm>
        <a:prstGeom prst="round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  <a:p>
          <a:pPr algn="l"/>
          <a:endParaRPr lang="es-MX" sz="1100"/>
        </a:p>
        <a:p>
          <a:pPr algn="l"/>
          <a:endParaRPr lang="es-MX" sz="1100"/>
        </a:p>
      </xdr:txBody>
    </xdr:sp>
    <xdr:clientData/>
  </xdr:twoCellAnchor>
  <xdr:twoCellAnchor editAs="oneCell">
    <xdr:from>
      <xdr:col>7</xdr:col>
      <xdr:colOff>0</xdr:colOff>
      <xdr:row>23</xdr:row>
      <xdr:rowOff>41400</xdr:rowOff>
    </xdr:from>
    <xdr:to>
      <xdr:col>16</xdr:col>
      <xdr:colOff>177840</xdr:colOff>
      <xdr:row>40</xdr:row>
      <xdr:rowOff>42480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600076</xdr:colOff>
      <xdr:row>5</xdr:row>
      <xdr:rowOff>42863</xdr:rowOff>
    </xdr:from>
    <xdr:to>
      <xdr:col>5</xdr:col>
      <xdr:colOff>862013</xdr:colOff>
      <xdr:row>11</xdr:row>
      <xdr:rowOff>28575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7C272174-5F14-41E8-8734-C5289D698A64}"/>
            </a:ext>
          </a:extLst>
        </xdr:cNvPr>
        <xdr:cNvSpPr/>
      </xdr:nvSpPr>
      <xdr:spPr>
        <a:xfrm>
          <a:off x="3838576" y="1109663"/>
          <a:ext cx="2547937" cy="1176337"/>
        </a:xfrm>
        <a:prstGeom prst="round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900115</xdr:colOff>
      <xdr:row>5</xdr:row>
      <xdr:rowOff>23813</xdr:rowOff>
    </xdr:from>
    <xdr:to>
      <xdr:col>7</xdr:col>
      <xdr:colOff>595314</xdr:colOff>
      <xdr:row>11</xdr:row>
      <xdr:rowOff>42864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33CAED5B-8CCC-4FB6-A646-3808DE660485}"/>
            </a:ext>
          </a:extLst>
        </xdr:cNvPr>
        <xdr:cNvSpPr/>
      </xdr:nvSpPr>
      <xdr:spPr>
        <a:xfrm>
          <a:off x="6424615" y="1090613"/>
          <a:ext cx="2124074" cy="1209676"/>
        </a:xfrm>
        <a:prstGeom prst="round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14290</xdr:colOff>
      <xdr:row>5</xdr:row>
      <xdr:rowOff>33338</xdr:rowOff>
    </xdr:from>
    <xdr:to>
      <xdr:col>10</xdr:col>
      <xdr:colOff>138113</xdr:colOff>
      <xdr:row>11</xdr:row>
      <xdr:rowOff>52388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3FCC84AE-2F09-41B0-8B8E-16CB76A37F89}"/>
            </a:ext>
          </a:extLst>
        </xdr:cNvPr>
        <xdr:cNvSpPr/>
      </xdr:nvSpPr>
      <xdr:spPr>
        <a:xfrm>
          <a:off x="8586790" y="1100138"/>
          <a:ext cx="2171698" cy="1209675"/>
        </a:xfrm>
        <a:prstGeom prst="round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41"/>
  <sheetViews>
    <sheetView showGridLines="0" tabSelected="1" zoomScaleNormal="100" workbookViewId="0">
      <selection activeCell="G3" sqref="G3"/>
    </sheetView>
  </sheetViews>
  <sheetFormatPr baseColWidth="10" defaultColWidth="8.6640625" defaultRowHeight="14.25" x14ac:dyDescent="0.45"/>
  <cols>
    <col min="3" max="3" width="28" customWidth="1"/>
    <col min="4" max="5" width="16" customWidth="1"/>
    <col min="6" max="6" width="14" customWidth="1"/>
    <col min="7" max="7" width="20" customWidth="1"/>
    <col min="9" max="9" width="20" customWidth="1"/>
  </cols>
  <sheetData>
    <row r="2" spans="3:9" ht="20.65" x14ac:dyDescent="0.6">
      <c r="C2" s="1" t="s">
        <v>57</v>
      </c>
    </row>
    <row r="3" spans="3:9" ht="20.65" x14ac:dyDescent="0.6">
      <c r="C3" s="1"/>
    </row>
    <row r="4" spans="3:9" x14ac:dyDescent="0.45">
      <c r="D4" s="18" t="s">
        <v>60</v>
      </c>
    </row>
    <row r="5" spans="3:9" x14ac:dyDescent="0.45">
      <c r="C5" s="2"/>
    </row>
    <row r="6" spans="3:9" x14ac:dyDescent="0.45">
      <c r="C6" s="2"/>
    </row>
    <row r="8" spans="3:9" x14ac:dyDescent="0.45">
      <c r="C8" s="3" t="s">
        <v>0</v>
      </c>
      <c r="E8" s="3" t="s">
        <v>1</v>
      </c>
      <c r="G8" s="3" t="s">
        <v>2</v>
      </c>
      <c r="I8" s="3" t="s">
        <v>3</v>
      </c>
    </row>
    <row r="9" spans="3:9" ht="22.5" x14ac:dyDescent="0.6">
      <c r="C9" s="4">
        <f>SUMIFS(Datos_ERP!$I$2:$I$184,Datos_ERP!$B$2:$B$184,"&gt;="&amp;DATE(2026,7,1),Datos_ERP!$B$2:$B$184,"&lt;="&amp;DATE(2026,7,31))</f>
        <v>266044.86</v>
      </c>
      <c r="E9" s="4">
        <f>SUMIFS(Datos_ERP!$I$2:$I$184,Datos_ERP!$B$2:$B$184,"&gt;="&amp;DATE(2026,6,1),Datos_ERP!$B$2:$B$184,"&lt;="&amp;DATE(2026,6,30))</f>
        <v>265045.64999999985</v>
      </c>
      <c r="G9" s="5">
        <f>(C9-E9)/E9</f>
        <v>3.769954345600986E-3</v>
      </c>
      <c r="I9" s="4">
        <f>C9/COUNTIFS(Datos_ERP!$B$2:$B$184,"&gt;="&amp;DATE(2026,7,1),Datos_ERP!$B$2:$B$184,"&lt;="&amp;DATE(2026,7,31))</f>
        <v>3023.2370454545453</v>
      </c>
    </row>
    <row r="14" spans="3:9" x14ac:dyDescent="0.45">
      <c r="C14" s="6" t="s">
        <v>56</v>
      </c>
    </row>
    <row r="15" spans="3:9" x14ac:dyDescent="0.45">
      <c r="C15" s="6"/>
    </row>
    <row r="16" spans="3:9" x14ac:dyDescent="0.45">
      <c r="C16" s="14" t="s">
        <v>4</v>
      </c>
      <c r="D16" s="14" t="s">
        <v>5</v>
      </c>
      <c r="E16" s="14" t="s">
        <v>6</v>
      </c>
      <c r="F16" s="14" t="s">
        <v>7</v>
      </c>
    </row>
    <row r="17" spans="3:6" x14ac:dyDescent="0.45">
      <c r="C17" s="8" t="s">
        <v>8</v>
      </c>
      <c r="D17" s="9">
        <f>SUMIFS(Datos_ERP!$I$2:$I$184,Datos_ERP!$F$2:$F$184,$C17,Datos_ERP!$B$2:$B$184,"&gt;="&amp;DATE(2026,7,1),Datos_ERP!$B$2:$B$184,"&lt;="&amp;DATE(2026,7,31))</f>
        <v>82574.16</v>
      </c>
      <c r="E17" s="9">
        <f>SUMIFS(Datos_ERP!$I$2:$I$184,Datos_ERP!$F$2:$F$184,$C17,Datos_ERP!$B$2:$B$184,"&gt;="&amp;DATE(2026,6,1),Datos_ERP!$B$2:$B$184,"&lt;="&amp;DATE(2026,6,30))</f>
        <v>58478.87</v>
      </c>
      <c r="F17" s="10">
        <f>IFERROR((D17-E17)/E17,0)</f>
        <v>0.41203412446239129</v>
      </c>
    </row>
    <row r="18" spans="3:6" x14ac:dyDescent="0.45">
      <c r="C18" s="8" t="s">
        <v>9</v>
      </c>
      <c r="D18" s="9">
        <f>SUMIFS(Datos_ERP!$I$2:$I$184,Datos_ERP!$F$2:$F$184,$C18,Datos_ERP!$B$2:$B$184,"&gt;="&amp;DATE(2026,7,1),Datos_ERP!$B$2:$B$184,"&lt;="&amp;DATE(2026,7,31))</f>
        <v>118095.06</v>
      </c>
      <c r="E18" s="9">
        <f>SUMIFS(Datos_ERP!$I$2:$I$184,Datos_ERP!$F$2:$F$184,$C18,Datos_ERP!$B$2:$B$184,"&gt;="&amp;DATE(2026,6,1),Datos_ERP!$B$2:$B$184,"&lt;="&amp;DATE(2026,6,30))</f>
        <v>104392.73000000001</v>
      </c>
      <c r="F18" s="10">
        <f>IFERROR((D18-E18)/E18,0)</f>
        <v>0.13125751189761956</v>
      </c>
    </row>
    <row r="19" spans="3:6" x14ac:dyDescent="0.45">
      <c r="C19" s="8" t="s">
        <v>10</v>
      </c>
      <c r="D19" s="9">
        <f>SUMIFS(Datos_ERP!$I$2:$I$184,Datos_ERP!$F$2:$F$184,$C19,Datos_ERP!$B$2:$B$184,"&gt;="&amp;DATE(2026,7,1),Datos_ERP!$B$2:$B$184,"&lt;="&amp;DATE(2026,7,31))</f>
        <v>14628.25</v>
      </c>
      <c r="E19" s="9">
        <f>SUMIFS(Datos_ERP!$I$2:$I$184,Datos_ERP!$F$2:$F$184,$C19,Datos_ERP!$B$2:$B$184,"&gt;="&amp;DATE(2026,6,1),Datos_ERP!$B$2:$B$184,"&lt;="&amp;DATE(2026,6,30))</f>
        <v>27462.489999999994</v>
      </c>
      <c r="F19" s="10">
        <f>IFERROR((D19-E19)/E19,0)</f>
        <v>-0.46733708414641195</v>
      </c>
    </row>
    <row r="20" spans="3:6" x14ac:dyDescent="0.45">
      <c r="C20" s="8" t="s">
        <v>11</v>
      </c>
      <c r="D20" s="9">
        <f>SUMIFS(Datos_ERP!$I$2:$I$184,Datos_ERP!$F$2:$F$184,$C20,Datos_ERP!$B$2:$B$184,"&gt;="&amp;DATE(2026,7,1),Datos_ERP!$B$2:$B$184,"&lt;="&amp;DATE(2026,7,31))</f>
        <v>32130.959999999999</v>
      </c>
      <c r="E20" s="9">
        <f>SUMIFS(Datos_ERP!$I$2:$I$184,Datos_ERP!$F$2:$F$184,$C20,Datos_ERP!$B$2:$B$184,"&gt;="&amp;DATE(2026,6,1),Datos_ERP!$B$2:$B$184,"&lt;="&amp;DATE(2026,6,30))</f>
        <v>49779.22</v>
      </c>
      <c r="F20" s="10">
        <f>IFERROR((D20-E20)/E20,0)</f>
        <v>-0.35453066560705454</v>
      </c>
    </row>
    <row r="21" spans="3:6" x14ac:dyDescent="0.45">
      <c r="C21" s="8" t="s">
        <v>12</v>
      </c>
      <c r="D21" s="9">
        <f>SUMIFS(Datos_ERP!$I$2:$I$184,Datos_ERP!$F$2:$F$184,$C21,Datos_ERP!$B$2:$B$184,"&gt;="&amp;DATE(2026,7,1),Datos_ERP!$B$2:$B$184,"&lt;="&amp;DATE(2026,7,31))</f>
        <v>18616.43</v>
      </c>
      <c r="E21" s="9">
        <f>SUMIFS(Datos_ERP!$I$2:$I$184,Datos_ERP!$F$2:$F$184,$C21,Datos_ERP!$B$2:$B$184,"&gt;="&amp;DATE(2026,6,1),Datos_ERP!$B$2:$B$184,"&lt;="&amp;DATE(2026,6,30))</f>
        <v>24932.34</v>
      </c>
      <c r="F21" s="10">
        <f>IFERROR((D21-E21)/E21,0)</f>
        <v>-0.2533219906354558</v>
      </c>
    </row>
    <row r="24" spans="3:6" x14ac:dyDescent="0.45">
      <c r="C24" s="6" t="s">
        <v>58</v>
      </c>
    </row>
    <row r="25" spans="3:6" x14ac:dyDescent="0.45">
      <c r="C25" s="15" t="s">
        <v>13</v>
      </c>
      <c r="D25" s="15" t="s">
        <v>14</v>
      </c>
      <c r="E25" s="15" t="s">
        <v>15</v>
      </c>
    </row>
    <row r="26" spans="3:6" x14ac:dyDescent="0.45">
      <c r="C26" s="8" t="s">
        <v>16</v>
      </c>
      <c r="D26" s="9">
        <f>SUMIFS(Datos_ERP!$I$2:$I$184,Datos_ERP!$E$2:$E$184,$C26,Datos_ERP!$B$2:$B$184,"&gt;="&amp;DATE(2026,7,1),Datos_ERP!$B$2:$B$184,"&lt;="&amp;DATE(2026,7,31))</f>
        <v>85273.89</v>
      </c>
      <c r="E26" s="8">
        <f>SUMIFS(Datos_ERP!$G$2:$G$184,Datos_ERP!$E$2:$E$184,$C26,Datos_ERP!$B$2:$B$184,"&gt;="&amp;DATE(2026,7,1),Datos_ERP!$B$2:$B$184,"&lt;="&amp;DATE(2026,7,31))</f>
        <v>58</v>
      </c>
    </row>
    <row r="27" spans="3:6" x14ac:dyDescent="0.45">
      <c r="C27" s="8" t="s">
        <v>17</v>
      </c>
      <c r="D27" s="9">
        <f>SUMIFS(Datos_ERP!$I$2:$I$184,Datos_ERP!$E$2:$E$184,$C27,Datos_ERP!$B$2:$B$184,"&gt;="&amp;DATE(2026,7,1),Datos_ERP!$B$2:$B$184,"&lt;="&amp;DATE(2026,7,31))</f>
        <v>81517.86</v>
      </c>
      <c r="E27" s="8">
        <f>SUMIFS(Datos_ERP!$G$2:$G$184,Datos_ERP!$E$2:$E$184,$C27,Datos_ERP!$B$2:$B$184,"&gt;="&amp;DATE(2026,7,1),Datos_ERP!$B$2:$B$184,"&lt;="&amp;DATE(2026,7,31))</f>
        <v>72</v>
      </c>
    </row>
    <row r="28" spans="3:6" x14ac:dyDescent="0.45">
      <c r="C28" s="8" t="s">
        <v>18</v>
      </c>
      <c r="D28" s="9">
        <f>SUMIFS(Datos_ERP!$I$2:$I$184,Datos_ERP!$E$2:$E$184,$C28,Datos_ERP!$B$2:$B$184,"&gt;="&amp;DATE(2026,7,1),Datos_ERP!$B$2:$B$184,"&lt;="&amp;DATE(2026,7,31))</f>
        <v>32130.959999999999</v>
      </c>
      <c r="E28" s="8">
        <f>SUMIFS(Datos_ERP!$G$2:$G$184,Datos_ERP!$E$2:$E$184,$C28,Datos_ERP!$B$2:$B$184,"&gt;="&amp;DATE(2026,7,1),Datos_ERP!$B$2:$B$184,"&lt;="&amp;DATE(2026,7,31))</f>
        <v>32</v>
      </c>
    </row>
    <row r="29" spans="3:6" x14ac:dyDescent="0.45">
      <c r="C29" s="8" t="s">
        <v>19</v>
      </c>
      <c r="D29" s="9">
        <f>SUMIFS(Datos_ERP!$I$2:$I$184,Datos_ERP!$E$2:$E$184,$C29,Datos_ERP!$B$2:$B$184,"&gt;="&amp;DATE(2026,7,1),Datos_ERP!$B$2:$B$184,"&lt;="&amp;DATE(2026,7,31))</f>
        <v>20677.5</v>
      </c>
      <c r="E29" s="8">
        <f>SUMIFS(Datos_ERP!$G$2:$G$184,Datos_ERP!$E$2:$E$184,$C29,Datos_ERP!$B$2:$B$184,"&gt;="&amp;DATE(2026,7,1),Datos_ERP!$B$2:$B$184,"&lt;="&amp;DATE(2026,7,31))</f>
        <v>64</v>
      </c>
    </row>
    <row r="30" spans="3:6" x14ac:dyDescent="0.45">
      <c r="C30" s="8" t="s">
        <v>20</v>
      </c>
      <c r="D30" s="9">
        <f>SUMIFS(Datos_ERP!$I$2:$I$184,Datos_ERP!$E$2:$E$184,$C30,Datos_ERP!$B$2:$B$184,"&gt;="&amp;DATE(2026,7,1),Datos_ERP!$B$2:$B$184,"&lt;="&amp;DATE(2026,7,31))</f>
        <v>18616.43</v>
      </c>
      <c r="E30" s="8">
        <f>SUMIFS(Datos_ERP!$G$2:$G$184,Datos_ERP!$E$2:$E$184,$C30,Datos_ERP!$B$2:$B$184,"&gt;="&amp;DATE(2026,7,1),Datos_ERP!$B$2:$B$184,"&lt;="&amp;DATE(2026,7,31))</f>
        <v>73</v>
      </c>
    </row>
    <row r="33" spans="3:5" x14ac:dyDescent="0.45">
      <c r="C33" s="6" t="s">
        <v>59</v>
      </c>
    </row>
    <row r="34" spans="3:5" x14ac:dyDescent="0.45">
      <c r="C34" s="7" t="s">
        <v>21</v>
      </c>
      <c r="D34" s="7" t="s">
        <v>22</v>
      </c>
      <c r="E34" s="7" t="s">
        <v>23</v>
      </c>
    </row>
    <row r="35" spans="3:5" x14ac:dyDescent="0.45">
      <c r="C35" s="8" t="s">
        <v>24</v>
      </c>
      <c r="D35" s="9">
        <f>SUMIFS(Datos_ERP!$I$2:$I$184,Datos_ERP!$C$2:$C$184,$C35,Datos_ERP!$B$2:$B$184,"&gt;="&amp;DATE(2026,7,1),Datos_ERP!$B$2:$B$184,"&lt;="&amp;DATE(2026,7,31))</f>
        <v>74483.59</v>
      </c>
      <c r="E35" s="8">
        <f>COUNTIFS(Datos_ERP!$C$2:$C$184,$C35,Datos_ERP!$B$2:$B$184,"&gt;="&amp;DATE(2026,7,1),Datos_ERP!$B$2:$B$184,"&lt;="&amp;DATE(2026,7,31))</f>
        <v>19</v>
      </c>
    </row>
    <row r="36" spans="3:5" x14ac:dyDescent="0.45">
      <c r="C36" s="8" t="s">
        <v>25</v>
      </c>
      <c r="D36" s="9">
        <f>SUMIFS(Datos_ERP!$I$2:$I$184,Datos_ERP!$C$2:$C$184,$C36,Datos_ERP!$B$2:$B$184,"&gt;="&amp;DATE(2026,7,1),Datos_ERP!$B$2:$B$184,"&lt;="&amp;DATE(2026,7,31))</f>
        <v>62323.81</v>
      </c>
      <c r="E36" s="8">
        <f>COUNTIFS(Datos_ERP!$C$2:$C$184,$C36,Datos_ERP!$B$2:$B$184,"&gt;="&amp;DATE(2026,7,1),Datos_ERP!$B$2:$B$184,"&lt;="&amp;DATE(2026,7,31))</f>
        <v>18</v>
      </c>
    </row>
    <row r="37" spans="3:5" x14ac:dyDescent="0.45">
      <c r="C37" s="8" t="s">
        <v>26</v>
      </c>
      <c r="D37" s="9">
        <f>SUMIFS(Datos_ERP!$I$2:$I$184,Datos_ERP!$C$2:$C$184,$C37,Datos_ERP!$B$2:$B$184,"&gt;="&amp;DATE(2026,7,1),Datos_ERP!$B$2:$B$184,"&lt;="&amp;DATE(2026,7,31))</f>
        <v>60547.150000000009</v>
      </c>
      <c r="E37" s="8">
        <f>COUNTIFS(Datos_ERP!$C$2:$C$184,$C37,Datos_ERP!$B$2:$B$184,"&gt;="&amp;DATE(2026,7,1),Datos_ERP!$B$2:$B$184,"&lt;="&amp;DATE(2026,7,31))</f>
        <v>16</v>
      </c>
    </row>
    <row r="38" spans="3:5" x14ac:dyDescent="0.45">
      <c r="C38" s="8" t="s">
        <v>27</v>
      </c>
      <c r="D38" s="9">
        <f>SUMIFS(Datos_ERP!$I$2:$I$184,Datos_ERP!$C$2:$C$184,$C38,Datos_ERP!$B$2:$B$184,"&gt;="&amp;DATE(2026,7,1),Datos_ERP!$B$2:$B$184,"&lt;="&amp;DATE(2026,7,31))</f>
        <v>37726.630000000012</v>
      </c>
      <c r="E38" s="8">
        <f>COUNTIFS(Datos_ERP!$C$2:$C$184,$C38,Datos_ERP!$B$2:$B$184,"&gt;="&amp;DATE(2026,7,1),Datos_ERP!$B$2:$B$184,"&lt;="&amp;DATE(2026,7,31))</f>
        <v>16</v>
      </c>
    </row>
    <row r="39" spans="3:5" x14ac:dyDescent="0.45">
      <c r="C39" s="8" t="s">
        <v>28</v>
      </c>
      <c r="D39" s="9">
        <f>SUMIFS(Datos_ERP!$I$2:$I$184,Datos_ERP!$C$2:$C$184,$C39,Datos_ERP!$B$2:$B$184,"&gt;="&amp;DATE(2026,7,1),Datos_ERP!$B$2:$B$184,"&lt;="&amp;DATE(2026,7,31))</f>
        <v>30963.680000000004</v>
      </c>
      <c r="E39" s="8">
        <f>COUNTIFS(Datos_ERP!$C$2:$C$184,$C39,Datos_ERP!$B$2:$B$184,"&gt;="&amp;DATE(2026,7,1),Datos_ERP!$B$2:$B$184,"&lt;="&amp;DATE(2026,7,31))</f>
        <v>19</v>
      </c>
    </row>
    <row r="41" spans="3:5" x14ac:dyDescent="0.45">
      <c r="C41" s="11" t="s">
        <v>29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4"/>
  <sheetViews>
    <sheetView zoomScaleNormal="100" workbookViewId="0">
      <pane ySplit="1" topLeftCell="A2" activePane="bottomLeft" state="frozen"/>
      <selection pane="bottomLeft" activeCell="M13" sqref="M13"/>
    </sheetView>
  </sheetViews>
  <sheetFormatPr baseColWidth="10" defaultColWidth="8.6640625" defaultRowHeight="14.25" x14ac:dyDescent="0.45"/>
  <cols>
    <col min="1" max="1" width="10" customWidth="1"/>
    <col min="2" max="2" width="12" customWidth="1"/>
    <col min="3" max="3" width="16" customWidth="1"/>
    <col min="4" max="4" width="20" customWidth="1"/>
    <col min="5" max="5" width="26" customWidth="1"/>
    <col min="6" max="6" width="14" customWidth="1"/>
    <col min="7" max="7" width="10" customWidth="1"/>
    <col min="8" max="8" width="16" customWidth="1"/>
    <col min="9" max="9" width="14" customWidth="1"/>
    <col min="10" max="10" width="12" customWidth="1"/>
  </cols>
  <sheetData>
    <row r="1" spans="1:10" s="17" customFormat="1" x14ac:dyDescent="0.45">
      <c r="A1" s="16" t="s">
        <v>30</v>
      </c>
      <c r="B1" s="16" t="s">
        <v>31</v>
      </c>
      <c r="C1" s="16" t="s">
        <v>21</v>
      </c>
      <c r="D1" s="16" t="s">
        <v>32</v>
      </c>
      <c r="E1" s="16" t="s">
        <v>13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</row>
    <row r="2" spans="1:10" x14ac:dyDescent="0.45">
      <c r="A2" s="8">
        <v>1024</v>
      </c>
      <c r="B2" s="12">
        <v>46174</v>
      </c>
      <c r="C2" s="8" t="s">
        <v>26</v>
      </c>
      <c r="D2" s="8" t="s">
        <v>38</v>
      </c>
      <c r="E2" s="8" t="s">
        <v>16</v>
      </c>
      <c r="F2" s="8" t="s">
        <v>9</v>
      </c>
      <c r="G2" s="8">
        <v>10</v>
      </c>
      <c r="H2" s="13">
        <v>1424.5</v>
      </c>
      <c r="I2" s="13">
        <v>14245</v>
      </c>
      <c r="J2" s="8" t="s">
        <v>39</v>
      </c>
    </row>
    <row r="3" spans="1:10" x14ac:dyDescent="0.45">
      <c r="A3" s="8">
        <v>1091</v>
      </c>
      <c r="B3" s="12">
        <v>46174</v>
      </c>
      <c r="C3" s="8" t="s">
        <v>27</v>
      </c>
      <c r="D3" s="8" t="s">
        <v>40</v>
      </c>
      <c r="E3" s="8" t="s">
        <v>20</v>
      </c>
      <c r="F3" s="8" t="s">
        <v>12</v>
      </c>
      <c r="G3" s="8">
        <v>10</v>
      </c>
      <c r="H3" s="13">
        <v>271.60000000000002</v>
      </c>
      <c r="I3" s="13">
        <v>2716</v>
      </c>
      <c r="J3" s="8" t="s">
        <v>39</v>
      </c>
    </row>
    <row r="4" spans="1:10" x14ac:dyDescent="0.45">
      <c r="A4" s="8">
        <v>1031</v>
      </c>
      <c r="B4" s="12">
        <v>46175</v>
      </c>
      <c r="C4" s="8" t="s">
        <v>25</v>
      </c>
      <c r="D4" s="8" t="s">
        <v>41</v>
      </c>
      <c r="E4" s="8" t="s">
        <v>16</v>
      </c>
      <c r="F4" s="8" t="s">
        <v>9</v>
      </c>
      <c r="G4" s="8">
        <v>2</v>
      </c>
      <c r="H4" s="13">
        <v>1480.14</v>
      </c>
      <c r="I4" s="13">
        <v>2960.28</v>
      </c>
      <c r="J4" s="8" t="s">
        <v>42</v>
      </c>
    </row>
    <row r="5" spans="1:10" x14ac:dyDescent="0.45">
      <c r="A5" s="8">
        <v>1035</v>
      </c>
      <c r="B5" s="12">
        <v>46175</v>
      </c>
      <c r="C5" s="8" t="s">
        <v>26</v>
      </c>
      <c r="D5" s="8" t="s">
        <v>43</v>
      </c>
      <c r="E5" s="8" t="s">
        <v>20</v>
      </c>
      <c r="F5" s="8" t="s">
        <v>12</v>
      </c>
      <c r="G5" s="8">
        <v>8</v>
      </c>
      <c r="H5" s="13">
        <v>269.45999999999998</v>
      </c>
      <c r="I5" s="13">
        <v>2155.6799999999998</v>
      </c>
      <c r="J5" s="8" t="s">
        <v>39</v>
      </c>
    </row>
    <row r="6" spans="1:10" x14ac:dyDescent="0.45">
      <c r="A6" s="8">
        <v>1042</v>
      </c>
      <c r="B6" s="12">
        <v>46175</v>
      </c>
      <c r="C6" s="8" t="s">
        <v>28</v>
      </c>
      <c r="D6" s="8" t="s">
        <v>43</v>
      </c>
      <c r="E6" s="8" t="s">
        <v>16</v>
      </c>
      <c r="F6" s="8" t="s">
        <v>9</v>
      </c>
      <c r="G6" s="8">
        <v>10</v>
      </c>
      <c r="H6" s="13">
        <v>1484.18</v>
      </c>
      <c r="I6" s="13">
        <v>14841.8</v>
      </c>
      <c r="J6" s="8" t="s">
        <v>42</v>
      </c>
    </row>
    <row r="7" spans="1:10" x14ac:dyDescent="0.45">
      <c r="A7" s="8">
        <v>1083</v>
      </c>
      <c r="B7" s="12">
        <v>46175</v>
      </c>
      <c r="C7" s="8" t="s">
        <v>27</v>
      </c>
      <c r="D7" s="8" t="s">
        <v>44</v>
      </c>
      <c r="E7" s="8" t="s">
        <v>45</v>
      </c>
      <c r="F7" s="8" t="s">
        <v>10</v>
      </c>
      <c r="G7" s="8">
        <v>12</v>
      </c>
      <c r="H7" s="13">
        <v>210.38</v>
      </c>
      <c r="I7" s="13">
        <v>2524.56</v>
      </c>
      <c r="J7" s="8" t="s">
        <v>42</v>
      </c>
    </row>
    <row r="8" spans="1:10" x14ac:dyDescent="0.45">
      <c r="A8" s="8">
        <v>1044</v>
      </c>
      <c r="B8" s="12">
        <v>46176</v>
      </c>
      <c r="C8" s="8" t="s">
        <v>27</v>
      </c>
      <c r="D8" s="8" t="s">
        <v>41</v>
      </c>
      <c r="E8" s="8" t="s">
        <v>46</v>
      </c>
      <c r="F8" s="8" t="s">
        <v>9</v>
      </c>
      <c r="G8" s="8">
        <v>2</v>
      </c>
      <c r="H8" s="13">
        <v>186.32</v>
      </c>
      <c r="I8" s="13">
        <v>372.64</v>
      </c>
      <c r="J8" s="8" t="s">
        <v>47</v>
      </c>
    </row>
    <row r="9" spans="1:10" x14ac:dyDescent="0.45">
      <c r="A9" s="8">
        <v>1080</v>
      </c>
      <c r="B9" s="12">
        <v>46176</v>
      </c>
      <c r="C9" s="8" t="s">
        <v>24</v>
      </c>
      <c r="D9" s="8" t="s">
        <v>40</v>
      </c>
      <c r="E9" s="8" t="s">
        <v>48</v>
      </c>
      <c r="F9" s="8" t="s">
        <v>10</v>
      </c>
      <c r="G9" s="8">
        <v>10</v>
      </c>
      <c r="H9" s="13">
        <v>98.32</v>
      </c>
      <c r="I9" s="13">
        <v>983.2</v>
      </c>
      <c r="J9" s="8" t="s">
        <v>47</v>
      </c>
    </row>
    <row r="10" spans="1:10" x14ac:dyDescent="0.45">
      <c r="A10" s="8">
        <v>1034</v>
      </c>
      <c r="B10" s="12">
        <v>46177</v>
      </c>
      <c r="C10" s="8" t="s">
        <v>24</v>
      </c>
      <c r="D10" s="8" t="s">
        <v>38</v>
      </c>
      <c r="E10" s="8" t="s">
        <v>48</v>
      </c>
      <c r="F10" s="8" t="s">
        <v>10</v>
      </c>
      <c r="G10" s="8">
        <v>7</v>
      </c>
      <c r="H10" s="13">
        <v>92.06</v>
      </c>
      <c r="I10" s="13">
        <v>644.41999999999996</v>
      </c>
      <c r="J10" s="8" t="s">
        <v>39</v>
      </c>
    </row>
    <row r="11" spans="1:10" x14ac:dyDescent="0.45">
      <c r="A11" s="8">
        <v>1017</v>
      </c>
      <c r="B11" s="12">
        <v>46178</v>
      </c>
      <c r="C11" s="8" t="s">
        <v>27</v>
      </c>
      <c r="D11" s="8" t="s">
        <v>49</v>
      </c>
      <c r="E11" s="8" t="s">
        <v>50</v>
      </c>
      <c r="F11" s="8" t="s">
        <v>9</v>
      </c>
      <c r="G11" s="8">
        <v>7</v>
      </c>
      <c r="H11" s="13">
        <v>64.099999999999994</v>
      </c>
      <c r="I11" s="13">
        <v>448.7</v>
      </c>
      <c r="J11" s="8" t="s">
        <v>42</v>
      </c>
    </row>
    <row r="12" spans="1:10" x14ac:dyDescent="0.45">
      <c r="A12" s="8">
        <v>1041</v>
      </c>
      <c r="B12" s="12">
        <v>46178</v>
      </c>
      <c r="C12" s="8" t="s">
        <v>25</v>
      </c>
      <c r="D12" s="8" t="s">
        <v>51</v>
      </c>
      <c r="E12" s="8" t="s">
        <v>46</v>
      </c>
      <c r="F12" s="8" t="s">
        <v>9</v>
      </c>
      <c r="G12" s="8">
        <v>11</v>
      </c>
      <c r="H12" s="13">
        <v>183.93</v>
      </c>
      <c r="I12" s="13">
        <v>2023.23</v>
      </c>
      <c r="J12" s="8" t="s">
        <v>42</v>
      </c>
    </row>
    <row r="13" spans="1:10" x14ac:dyDescent="0.45">
      <c r="A13" s="8">
        <v>1073</v>
      </c>
      <c r="B13" s="12">
        <v>46178</v>
      </c>
      <c r="C13" s="8" t="s">
        <v>25</v>
      </c>
      <c r="D13" s="8" t="s">
        <v>40</v>
      </c>
      <c r="E13" s="8" t="s">
        <v>20</v>
      </c>
      <c r="F13" s="8" t="s">
        <v>12</v>
      </c>
      <c r="G13" s="8">
        <v>12</v>
      </c>
      <c r="H13" s="13">
        <v>254.69</v>
      </c>
      <c r="I13" s="13">
        <v>3056.28</v>
      </c>
      <c r="J13" s="8" t="s">
        <v>47</v>
      </c>
    </row>
    <row r="14" spans="1:10" x14ac:dyDescent="0.45">
      <c r="A14" s="8">
        <v>1079</v>
      </c>
      <c r="B14" s="12">
        <v>46178</v>
      </c>
      <c r="C14" s="8" t="s">
        <v>26</v>
      </c>
      <c r="D14" s="8" t="s">
        <v>43</v>
      </c>
      <c r="E14" s="8" t="s">
        <v>17</v>
      </c>
      <c r="F14" s="8" t="s">
        <v>8</v>
      </c>
      <c r="G14" s="8">
        <v>4</v>
      </c>
      <c r="H14" s="13">
        <v>1185.25</v>
      </c>
      <c r="I14" s="13">
        <v>4741</v>
      </c>
      <c r="J14" s="8" t="s">
        <v>42</v>
      </c>
    </row>
    <row r="15" spans="1:10" x14ac:dyDescent="0.45">
      <c r="A15" s="8">
        <v>1089</v>
      </c>
      <c r="B15" s="12">
        <v>46178</v>
      </c>
      <c r="C15" s="8" t="s">
        <v>25</v>
      </c>
      <c r="D15" s="8" t="s">
        <v>41</v>
      </c>
      <c r="E15" s="8" t="s">
        <v>45</v>
      </c>
      <c r="F15" s="8" t="s">
        <v>10</v>
      </c>
      <c r="G15" s="8">
        <v>4</v>
      </c>
      <c r="H15" s="13">
        <v>207.54</v>
      </c>
      <c r="I15" s="13">
        <v>830.16</v>
      </c>
      <c r="J15" s="8" t="s">
        <v>39</v>
      </c>
    </row>
    <row r="16" spans="1:10" x14ac:dyDescent="0.45">
      <c r="A16" s="8">
        <v>1012</v>
      </c>
      <c r="B16" s="12">
        <v>46179</v>
      </c>
      <c r="C16" s="8" t="s">
        <v>24</v>
      </c>
      <c r="D16" s="8" t="s">
        <v>40</v>
      </c>
      <c r="E16" s="8" t="s">
        <v>45</v>
      </c>
      <c r="F16" s="8" t="s">
        <v>10</v>
      </c>
      <c r="G16" s="8">
        <v>9</v>
      </c>
      <c r="H16" s="13">
        <v>214.81</v>
      </c>
      <c r="I16" s="13">
        <v>1933.29</v>
      </c>
      <c r="J16" s="8" t="s">
        <v>39</v>
      </c>
    </row>
    <row r="17" spans="1:10" x14ac:dyDescent="0.45">
      <c r="A17" s="8">
        <v>1018</v>
      </c>
      <c r="B17" s="12">
        <v>46179</v>
      </c>
      <c r="C17" s="8" t="s">
        <v>24</v>
      </c>
      <c r="D17" s="8" t="s">
        <v>52</v>
      </c>
      <c r="E17" s="8" t="s">
        <v>16</v>
      </c>
      <c r="F17" s="8" t="s">
        <v>9</v>
      </c>
      <c r="G17" s="8">
        <v>2</v>
      </c>
      <c r="H17" s="13">
        <v>1399.66</v>
      </c>
      <c r="I17" s="13">
        <v>2799.32</v>
      </c>
      <c r="J17" s="8" t="s">
        <v>42</v>
      </c>
    </row>
    <row r="18" spans="1:10" x14ac:dyDescent="0.45">
      <c r="A18" s="8">
        <v>1021</v>
      </c>
      <c r="B18" s="12">
        <v>46179</v>
      </c>
      <c r="C18" s="8" t="s">
        <v>24</v>
      </c>
      <c r="D18" s="8" t="s">
        <v>43</v>
      </c>
      <c r="E18" s="8" t="s">
        <v>53</v>
      </c>
      <c r="F18" s="8" t="s">
        <v>8</v>
      </c>
      <c r="G18" s="8">
        <v>2</v>
      </c>
      <c r="H18" s="13">
        <v>44.07</v>
      </c>
      <c r="I18" s="13">
        <v>88.14</v>
      </c>
      <c r="J18" s="8" t="s">
        <v>47</v>
      </c>
    </row>
    <row r="19" spans="1:10" x14ac:dyDescent="0.45">
      <c r="A19" s="8">
        <v>1074</v>
      </c>
      <c r="B19" s="12">
        <v>46179</v>
      </c>
      <c r="C19" s="8" t="s">
        <v>27</v>
      </c>
      <c r="D19" s="8" t="s">
        <v>52</v>
      </c>
      <c r="E19" s="8" t="s">
        <v>20</v>
      </c>
      <c r="F19" s="8" t="s">
        <v>12</v>
      </c>
      <c r="G19" s="8">
        <v>11</v>
      </c>
      <c r="H19" s="13">
        <v>266.45</v>
      </c>
      <c r="I19" s="13">
        <v>2930.95</v>
      </c>
      <c r="J19" s="8" t="s">
        <v>39</v>
      </c>
    </row>
    <row r="20" spans="1:10" x14ac:dyDescent="0.45">
      <c r="A20" s="8">
        <v>1005</v>
      </c>
      <c r="B20" s="12">
        <v>46180</v>
      </c>
      <c r="C20" s="8" t="s">
        <v>28</v>
      </c>
      <c r="D20" s="8" t="s">
        <v>41</v>
      </c>
      <c r="E20" s="8" t="s">
        <v>20</v>
      </c>
      <c r="F20" s="8" t="s">
        <v>12</v>
      </c>
      <c r="G20" s="8">
        <v>6</v>
      </c>
      <c r="H20" s="13">
        <v>254.22</v>
      </c>
      <c r="I20" s="13">
        <v>1525.32</v>
      </c>
      <c r="J20" s="8" t="s">
        <v>42</v>
      </c>
    </row>
    <row r="21" spans="1:10" x14ac:dyDescent="0.45">
      <c r="A21" s="8">
        <v>1014</v>
      </c>
      <c r="B21" s="12">
        <v>46180</v>
      </c>
      <c r="C21" s="8" t="s">
        <v>27</v>
      </c>
      <c r="D21" s="8" t="s">
        <v>38</v>
      </c>
      <c r="E21" s="8" t="s">
        <v>53</v>
      </c>
      <c r="F21" s="8" t="s">
        <v>8</v>
      </c>
      <c r="G21" s="8">
        <v>7</v>
      </c>
      <c r="H21" s="13">
        <v>43.95</v>
      </c>
      <c r="I21" s="13">
        <v>307.64999999999998</v>
      </c>
      <c r="J21" s="8" t="s">
        <v>42</v>
      </c>
    </row>
    <row r="22" spans="1:10" x14ac:dyDescent="0.45">
      <c r="A22" s="8">
        <v>1036</v>
      </c>
      <c r="B22" s="12">
        <v>46180</v>
      </c>
      <c r="C22" s="8" t="s">
        <v>27</v>
      </c>
      <c r="D22" s="8" t="s">
        <v>49</v>
      </c>
      <c r="E22" s="8" t="s">
        <v>53</v>
      </c>
      <c r="F22" s="8" t="s">
        <v>8</v>
      </c>
      <c r="G22" s="8">
        <v>2</v>
      </c>
      <c r="H22" s="13">
        <v>43.87</v>
      </c>
      <c r="I22" s="13">
        <v>87.74</v>
      </c>
      <c r="J22" s="8" t="s">
        <v>42</v>
      </c>
    </row>
    <row r="23" spans="1:10" x14ac:dyDescent="0.45">
      <c r="A23" s="8">
        <v>1039</v>
      </c>
      <c r="B23" s="12">
        <v>46180</v>
      </c>
      <c r="C23" s="8" t="s">
        <v>24</v>
      </c>
      <c r="D23" s="8" t="s">
        <v>43</v>
      </c>
      <c r="E23" s="8" t="s">
        <v>45</v>
      </c>
      <c r="F23" s="8" t="s">
        <v>10</v>
      </c>
      <c r="G23" s="8">
        <v>7</v>
      </c>
      <c r="H23" s="13">
        <v>209.7</v>
      </c>
      <c r="I23" s="13">
        <v>1467.9</v>
      </c>
      <c r="J23" s="8" t="s">
        <v>42</v>
      </c>
    </row>
    <row r="24" spans="1:10" x14ac:dyDescent="0.45">
      <c r="A24" s="8">
        <v>1069</v>
      </c>
      <c r="B24" s="12">
        <v>46180</v>
      </c>
      <c r="C24" s="8" t="s">
        <v>28</v>
      </c>
      <c r="D24" s="8" t="s">
        <v>43</v>
      </c>
      <c r="E24" s="8" t="s">
        <v>19</v>
      </c>
      <c r="F24" s="8" t="s">
        <v>9</v>
      </c>
      <c r="G24" s="8">
        <v>7</v>
      </c>
      <c r="H24" s="13">
        <v>332.78</v>
      </c>
      <c r="I24" s="13">
        <v>2329.46</v>
      </c>
      <c r="J24" s="8" t="s">
        <v>47</v>
      </c>
    </row>
    <row r="25" spans="1:10" x14ac:dyDescent="0.45">
      <c r="A25" s="8">
        <v>1000</v>
      </c>
      <c r="B25" s="12">
        <v>46181</v>
      </c>
      <c r="C25" s="8" t="s">
        <v>25</v>
      </c>
      <c r="D25" s="8" t="s">
        <v>54</v>
      </c>
      <c r="E25" s="8" t="s">
        <v>19</v>
      </c>
      <c r="F25" s="8" t="s">
        <v>9</v>
      </c>
      <c r="G25" s="8">
        <v>1</v>
      </c>
      <c r="H25" s="13">
        <v>327.73</v>
      </c>
      <c r="I25" s="13">
        <v>327.73</v>
      </c>
      <c r="J25" s="8" t="s">
        <v>47</v>
      </c>
    </row>
    <row r="26" spans="1:10" x14ac:dyDescent="0.45">
      <c r="A26" s="8">
        <v>1002</v>
      </c>
      <c r="B26" s="12">
        <v>46181</v>
      </c>
      <c r="C26" s="8" t="s">
        <v>27</v>
      </c>
      <c r="D26" s="8" t="s">
        <v>52</v>
      </c>
      <c r="E26" s="8" t="s">
        <v>16</v>
      </c>
      <c r="F26" s="8" t="s">
        <v>9</v>
      </c>
      <c r="G26" s="8">
        <v>1</v>
      </c>
      <c r="H26" s="13">
        <v>1391.09</v>
      </c>
      <c r="I26" s="13">
        <v>1391.09</v>
      </c>
      <c r="J26" s="8" t="s">
        <v>42</v>
      </c>
    </row>
    <row r="27" spans="1:10" x14ac:dyDescent="0.45">
      <c r="A27" s="8">
        <v>1037</v>
      </c>
      <c r="B27" s="12">
        <v>46181</v>
      </c>
      <c r="C27" s="8" t="s">
        <v>26</v>
      </c>
      <c r="D27" s="8" t="s">
        <v>49</v>
      </c>
      <c r="E27" s="8" t="s">
        <v>20</v>
      </c>
      <c r="F27" s="8" t="s">
        <v>12</v>
      </c>
      <c r="G27" s="8">
        <v>3</v>
      </c>
      <c r="H27" s="13">
        <v>254.24</v>
      </c>
      <c r="I27" s="13">
        <v>762.72</v>
      </c>
      <c r="J27" s="8" t="s">
        <v>47</v>
      </c>
    </row>
    <row r="28" spans="1:10" x14ac:dyDescent="0.45">
      <c r="A28" s="8">
        <v>1087</v>
      </c>
      <c r="B28" s="12">
        <v>46181</v>
      </c>
      <c r="C28" s="8" t="s">
        <v>28</v>
      </c>
      <c r="D28" s="8" t="s">
        <v>49</v>
      </c>
      <c r="E28" s="8" t="s">
        <v>17</v>
      </c>
      <c r="F28" s="8" t="s">
        <v>8</v>
      </c>
      <c r="G28" s="8">
        <v>9</v>
      </c>
      <c r="H28" s="13">
        <v>1148.23</v>
      </c>
      <c r="I28" s="13">
        <v>10334.07</v>
      </c>
      <c r="J28" s="8" t="s">
        <v>42</v>
      </c>
    </row>
    <row r="29" spans="1:10" x14ac:dyDescent="0.45">
      <c r="A29" s="8">
        <v>1032</v>
      </c>
      <c r="B29" s="12">
        <v>46182</v>
      </c>
      <c r="C29" s="8" t="s">
        <v>24</v>
      </c>
      <c r="D29" s="8" t="s">
        <v>44</v>
      </c>
      <c r="E29" s="8" t="s">
        <v>53</v>
      </c>
      <c r="F29" s="8" t="s">
        <v>8</v>
      </c>
      <c r="G29" s="8">
        <v>2</v>
      </c>
      <c r="H29" s="13">
        <v>45.06</v>
      </c>
      <c r="I29" s="13">
        <v>90.12</v>
      </c>
      <c r="J29" s="8" t="s">
        <v>47</v>
      </c>
    </row>
    <row r="30" spans="1:10" x14ac:dyDescent="0.45">
      <c r="A30" s="8">
        <v>1040</v>
      </c>
      <c r="B30" s="12">
        <v>46182</v>
      </c>
      <c r="C30" s="8" t="s">
        <v>24</v>
      </c>
      <c r="D30" s="8" t="s">
        <v>51</v>
      </c>
      <c r="E30" s="8" t="s">
        <v>20</v>
      </c>
      <c r="F30" s="8" t="s">
        <v>12</v>
      </c>
      <c r="G30" s="8">
        <v>1</v>
      </c>
      <c r="H30" s="13">
        <v>272.62</v>
      </c>
      <c r="I30" s="13">
        <v>272.62</v>
      </c>
      <c r="J30" s="8" t="s">
        <v>39</v>
      </c>
    </row>
    <row r="31" spans="1:10" x14ac:dyDescent="0.45">
      <c r="A31" s="8">
        <v>1067</v>
      </c>
      <c r="B31" s="12">
        <v>46182</v>
      </c>
      <c r="C31" s="8" t="s">
        <v>26</v>
      </c>
      <c r="D31" s="8" t="s">
        <v>41</v>
      </c>
      <c r="E31" s="8" t="s">
        <v>19</v>
      </c>
      <c r="F31" s="8" t="s">
        <v>9</v>
      </c>
      <c r="G31" s="8">
        <v>5</v>
      </c>
      <c r="H31" s="13">
        <v>309.70999999999998</v>
      </c>
      <c r="I31" s="13">
        <v>1548.55</v>
      </c>
      <c r="J31" s="8" t="s">
        <v>47</v>
      </c>
    </row>
    <row r="32" spans="1:10" x14ac:dyDescent="0.45">
      <c r="A32" s="8">
        <v>1048</v>
      </c>
      <c r="B32" s="12">
        <v>46183</v>
      </c>
      <c r="C32" s="8" t="s">
        <v>24</v>
      </c>
      <c r="D32" s="8" t="s">
        <v>38</v>
      </c>
      <c r="E32" s="8" t="s">
        <v>20</v>
      </c>
      <c r="F32" s="8" t="s">
        <v>12</v>
      </c>
      <c r="G32" s="8">
        <v>3</v>
      </c>
      <c r="H32" s="13">
        <v>264.45999999999998</v>
      </c>
      <c r="I32" s="13">
        <v>793.38</v>
      </c>
      <c r="J32" s="8" t="s">
        <v>42</v>
      </c>
    </row>
    <row r="33" spans="1:10" x14ac:dyDescent="0.45">
      <c r="A33" s="8">
        <v>1075</v>
      </c>
      <c r="B33" s="12">
        <v>46183</v>
      </c>
      <c r="C33" s="8" t="s">
        <v>28</v>
      </c>
      <c r="D33" s="8" t="s">
        <v>44</v>
      </c>
      <c r="E33" s="8" t="s">
        <v>20</v>
      </c>
      <c r="F33" s="8" t="s">
        <v>12</v>
      </c>
      <c r="G33" s="8">
        <v>9</v>
      </c>
      <c r="H33" s="13">
        <v>268.68</v>
      </c>
      <c r="I33" s="13">
        <v>2418.12</v>
      </c>
      <c r="J33" s="8" t="s">
        <v>39</v>
      </c>
    </row>
    <row r="34" spans="1:10" x14ac:dyDescent="0.45">
      <c r="A34" s="8">
        <v>1054</v>
      </c>
      <c r="B34" s="12">
        <v>46184</v>
      </c>
      <c r="C34" s="8" t="s">
        <v>25</v>
      </c>
      <c r="D34" s="8" t="s">
        <v>51</v>
      </c>
      <c r="E34" s="8" t="s">
        <v>17</v>
      </c>
      <c r="F34" s="8" t="s">
        <v>8</v>
      </c>
      <c r="G34" s="8">
        <v>10</v>
      </c>
      <c r="H34" s="13">
        <v>1116.72</v>
      </c>
      <c r="I34" s="13">
        <v>11167.2</v>
      </c>
      <c r="J34" s="8" t="s">
        <v>47</v>
      </c>
    </row>
    <row r="35" spans="1:10" x14ac:dyDescent="0.45">
      <c r="A35" s="8">
        <v>1056</v>
      </c>
      <c r="B35" s="12">
        <v>46184</v>
      </c>
      <c r="C35" s="8" t="s">
        <v>25</v>
      </c>
      <c r="D35" s="8" t="s">
        <v>51</v>
      </c>
      <c r="E35" s="8" t="s">
        <v>20</v>
      </c>
      <c r="F35" s="8" t="s">
        <v>12</v>
      </c>
      <c r="G35" s="8">
        <v>5</v>
      </c>
      <c r="H35" s="13">
        <v>248.15</v>
      </c>
      <c r="I35" s="13">
        <v>1240.75</v>
      </c>
      <c r="J35" s="8" t="s">
        <v>42</v>
      </c>
    </row>
    <row r="36" spans="1:10" x14ac:dyDescent="0.45">
      <c r="A36" s="8">
        <v>1068</v>
      </c>
      <c r="B36" s="12">
        <v>46184</v>
      </c>
      <c r="C36" s="8" t="s">
        <v>24</v>
      </c>
      <c r="D36" s="8" t="s">
        <v>52</v>
      </c>
      <c r="E36" s="8" t="s">
        <v>20</v>
      </c>
      <c r="F36" s="8" t="s">
        <v>12</v>
      </c>
      <c r="G36" s="8">
        <v>6</v>
      </c>
      <c r="H36" s="13">
        <v>265.94</v>
      </c>
      <c r="I36" s="13">
        <v>1595.64</v>
      </c>
      <c r="J36" s="8" t="s">
        <v>47</v>
      </c>
    </row>
    <row r="37" spans="1:10" x14ac:dyDescent="0.45">
      <c r="A37" s="8">
        <v>1078</v>
      </c>
      <c r="B37" s="12">
        <v>46184</v>
      </c>
      <c r="C37" s="8" t="s">
        <v>26</v>
      </c>
      <c r="D37" s="8" t="s">
        <v>44</v>
      </c>
      <c r="E37" s="8" t="s">
        <v>46</v>
      </c>
      <c r="F37" s="8" t="s">
        <v>9</v>
      </c>
      <c r="G37" s="8">
        <v>11</v>
      </c>
      <c r="H37" s="13">
        <v>182.39</v>
      </c>
      <c r="I37" s="13">
        <v>2006.29</v>
      </c>
      <c r="J37" s="8" t="s">
        <v>47</v>
      </c>
    </row>
    <row r="38" spans="1:10" x14ac:dyDescent="0.45">
      <c r="A38" s="8">
        <v>1088</v>
      </c>
      <c r="B38" s="12">
        <v>46184</v>
      </c>
      <c r="C38" s="8" t="s">
        <v>27</v>
      </c>
      <c r="D38" s="8" t="s">
        <v>41</v>
      </c>
      <c r="E38" s="8" t="s">
        <v>17</v>
      </c>
      <c r="F38" s="8" t="s">
        <v>8</v>
      </c>
      <c r="G38" s="8">
        <v>4</v>
      </c>
      <c r="H38" s="13">
        <v>1123.75</v>
      </c>
      <c r="I38" s="13">
        <v>4495</v>
      </c>
      <c r="J38" s="8" t="s">
        <v>42</v>
      </c>
    </row>
    <row r="39" spans="1:10" x14ac:dyDescent="0.45">
      <c r="A39" s="8">
        <v>1006</v>
      </c>
      <c r="B39" s="12">
        <v>46185</v>
      </c>
      <c r="C39" s="8" t="s">
        <v>27</v>
      </c>
      <c r="D39" s="8" t="s">
        <v>51</v>
      </c>
      <c r="E39" s="8" t="s">
        <v>20</v>
      </c>
      <c r="F39" s="8" t="s">
        <v>12</v>
      </c>
      <c r="G39" s="8">
        <v>2</v>
      </c>
      <c r="H39" s="13">
        <v>256.33</v>
      </c>
      <c r="I39" s="13">
        <v>512.66</v>
      </c>
      <c r="J39" s="8" t="s">
        <v>42</v>
      </c>
    </row>
    <row r="40" spans="1:10" x14ac:dyDescent="0.45">
      <c r="A40" s="8">
        <v>1023</v>
      </c>
      <c r="B40" s="12">
        <v>46185</v>
      </c>
      <c r="C40" s="8" t="s">
        <v>25</v>
      </c>
      <c r="D40" s="8" t="s">
        <v>55</v>
      </c>
      <c r="E40" s="8" t="s">
        <v>46</v>
      </c>
      <c r="F40" s="8" t="s">
        <v>9</v>
      </c>
      <c r="G40" s="8">
        <v>10</v>
      </c>
      <c r="H40" s="13">
        <v>174.58</v>
      </c>
      <c r="I40" s="13">
        <v>1745.8</v>
      </c>
      <c r="J40" s="8" t="s">
        <v>47</v>
      </c>
    </row>
    <row r="41" spans="1:10" x14ac:dyDescent="0.45">
      <c r="A41" s="8">
        <v>1058</v>
      </c>
      <c r="B41" s="12">
        <v>46185</v>
      </c>
      <c r="C41" s="8" t="s">
        <v>27</v>
      </c>
      <c r="D41" s="8" t="s">
        <v>55</v>
      </c>
      <c r="E41" s="8" t="s">
        <v>45</v>
      </c>
      <c r="F41" s="8" t="s">
        <v>10</v>
      </c>
      <c r="G41" s="8">
        <v>9</v>
      </c>
      <c r="H41" s="13">
        <v>200.26</v>
      </c>
      <c r="I41" s="13">
        <v>1802.34</v>
      </c>
      <c r="J41" s="8" t="s">
        <v>42</v>
      </c>
    </row>
    <row r="42" spans="1:10" x14ac:dyDescent="0.45">
      <c r="A42" s="8">
        <v>1059</v>
      </c>
      <c r="B42" s="12">
        <v>46185</v>
      </c>
      <c r="C42" s="8" t="s">
        <v>26</v>
      </c>
      <c r="D42" s="8" t="s">
        <v>38</v>
      </c>
      <c r="E42" s="8" t="s">
        <v>20</v>
      </c>
      <c r="F42" s="8" t="s">
        <v>12</v>
      </c>
      <c r="G42" s="8">
        <v>3</v>
      </c>
      <c r="H42" s="13">
        <v>248.09</v>
      </c>
      <c r="I42" s="13">
        <v>744.27</v>
      </c>
      <c r="J42" s="8" t="s">
        <v>42</v>
      </c>
    </row>
    <row r="43" spans="1:10" x14ac:dyDescent="0.45">
      <c r="A43" s="8">
        <v>1081</v>
      </c>
      <c r="B43" s="12">
        <v>46186</v>
      </c>
      <c r="C43" s="8" t="s">
        <v>24</v>
      </c>
      <c r="D43" s="8" t="s">
        <v>40</v>
      </c>
      <c r="E43" s="8" t="s">
        <v>50</v>
      </c>
      <c r="F43" s="8" t="s">
        <v>9</v>
      </c>
      <c r="G43" s="8">
        <v>4</v>
      </c>
      <c r="H43" s="13">
        <v>66.42</v>
      </c>
      <c r="I43" s="13">
        <v>265.68</v>
      </c>
      <c r="J43" s="8" t="s">
        <v>42</v>
      </c>
    </row>
    <row r="44" spans="1:10" x14ac:dyDescent="0.45">
      <c r="A44" s="8">
        <v>1092</v>
      </c>
      <c r="B44" s="12">
        <v>46186</v>
      </c>
      <c r="C44" s="8" t="s">
        <v>24</v>
      </c>
      <c r="D44" s="8" t="s">
        <v>55</v>
      </c>
      <c r="E44" s="8" t="s">
        <v>16</v>
      </c>
      <c r="F44" s="8" t="s">
        <v>9</v>
      </c>
      <c r="G44" s="8">
        <v>6</v>
      </c>
      <c r="H44" s="13">
        <v>1420.8</v>
      </c>
      <c r="I44" s="13">
        <v>8524.7999999999993</v>
      </c>
      <c r="J44" s="8" t="s">
        <v>47</v>
      </c>
    </row>
    <row r="45" spans="1:10" x14ac:dyDescent="0.45">
      <c r="A45" s="8">
        <v>1046</v>
      </c>
      <c r="B45" s="12">
        <v>46187</v>
      </c>
      <c r="C45" s="8" t="s">
        <v>27</v>
      </c>
      <c r="D45" s="8" t="s">
        <v>52</v>
      </c>
      <c r="E45" s="8" t="s">
        <v>50</v>
      </c>
      <c r="F45" s="8" t="s">
        <v>9</v>
      </c>
      <c r="G45" s="8">
        <v>1</v>
      </c>
      <c r="H45" s="13">
        <v>65.78</v>
      </c>
      <c r="I45" s="13">
        <v>65.78</v>
      </c>
      <c r="J45" s="8" t="s">
        <v>47</v>
      </c>
    </row>
    <row r="46" spans="1:10" x14ac:dyDescent="0.45">
      <c r="A46" s="8">
        <v>1090</v>
      </c>
      <c r="B46" s="12">
        <v>46187</v>
      </c>
      <c r="C46" s="8" t="s">
        <v>26</v>
      </c>
      <c r="D46" s="8" t="s">
        <v>44</v>
      </c>
      <c r="E46" s="8" t="s">
        <v>20</v>
      </c>
      <c r="F46" s="8" t="s">
        <v>12</v>
      </c>
      <c r="G46" s="8">
        <v>6</v>
      </c>
      <c r="H46" s="13">
        <v>261.11</v>
      </c>
      <c r="I46" s="13">
        <v>1566.66</v>
      </c>
      <c r="J46" s="8" t="s">
        <v>39</v>
      </c>
    </row>
    <row r="47" spans="1:10" x14ac:dyDescent="0.45">
      <c r="A47" s="8">
        <v>1019</v>
      </c>
      <c r="B47" s="12">
        <v>46188</v>
      </c>
      <c r="C47" s="8" t="s">
        <v>27</v>
      </c>
      <c r="D47" s="8" t="s">
        <v>51</v>
      </c>
      <c r="E47" s="8" t="s">
        <v>20</v>
      </c>
      <c r="F47" s="8" t="s">
        <v>12</v>
      </c>
      <c r="G47" s="8">
        <v>7</v>
      </c>
      <c r="H47" s="13">
        <v>262.49</v>
      </c>
      <c r="I47" s="13">
        <v>1837.43</v>
      </c>
      <c r="J47" s="8" t="s">
        <v>47</v>
      </c>
    </row>
    <row r="48" spans="1:10" x14ac:dyDescent="0.45">
      <c r="A48" s="8">
        <v>1029</v>
      </c>
      <c r="B48" s="12">
        <v>46188</v>
      </c>
      <c r="C48" s="8" t="s">
        <v>26</v>
      </c>
      <c r="D48" s="8" t="s">
        <v>44</v>
      </c>
      <c r="E48" s="8" t="s">
        <v>53</v>
      </c>
      <c r="F48" s="8" t="s">
        <v>8</v>
      </c>
      <c r="G48" s="8">
        <v>8</v>
      </c>
      <c r="H48" s="13">
        <v>46.8</v>
      </c>
      <c r="I48" s="13">
        <v>374.4</v>
      </c>
      <c r="J48" s="8" t="s">
        <v>42</v>
      </c>
    </row>
    <row r="49" spans="1:10" x14ac:dyDescent="0.45">
      <c r="A49" s="8">
        <v>1076</v>
      </c>
      <c r="B49" s="12">
        <v>46188</v>
      </c>
      <c r="C49" s="8" t="s">
        <v>24</v>
      </c>
      <c r="D49" s="8" t="s">
        <v>49</v>
      </c>
      <c r="E49" s="8" t="s">
        <v>50</v>
      </c>
      <c r="F49" s="8" t="s">
        <v>9</v>
      </c>
      <c r="G49" s="8">
        <v>10</v>
      </c>
      <c r="H49" s="13">
        <v>66.010000000000005</v>
      </c>
      <c r="I49" s="13">
        <v>660.1</v>
      </c>
      <c r="J49" s="8" t="s">
        <v>47</v>
      </c>
    </row>
    <row r="50" spans="1:10" x14ac:dyDescent="0.45">
      <c r="A50" s="8">
        <v>1086</v>
      </c>
      <c r="B50" s="12">
        <v>46189</v>
      </c>
      <c r="C50" s="8" t="s">
        <v>24</v>
      </c>
      <c r="D50" s="8" t="s">
        <v>51</v>
      </c>
      <c r="E50" s="8" t="s">
        <v>48</v>
      </c>
      <c r="F50" s="8" t="s">
        <v>10</v>
      </c>
      <c r="G50" s="8">
        <v>3</v>
      </c>
      <c r="H50" s="13">
        <v>97.31</v>
      </c>
      <c r="I50" s="13">
        <v>291.93</v>
      </c>
      <c r="J50" s="8" t="s">
        <v>42</v>
      </c>
    </row>
    <row r="51" spans="1:10" x14ac:dyDescent="0.45">
      <c r="A51" s="8">
        <v>1093</v>
      </c>
      <c r="B51" s="12">
        <v>46189</v>
      </c>
      <c r="C51" s="8" t="s">
        <v>25</v>
      </c>
      <c r="D51" s="8" t="s">
        <v>51</v>
      </c>
      <c r="E51" s="8" t="s">
        <v>46</v>
      </c>
      <c r="F51" s="8" t="s">
        <v>9</v>
      </c>
      <c r="G51" s="8">
        <v>10</v>
      </c>
      <c r="H51" s="13">
        <v>187.16</v>
      </c>
      <c r="I51" s="13">
        <v>1871.6</v>
      </c>
      <c r="J51" s="8" t="s">
        <v>39</v>
      </c>
    </row>
    <row r="52" spans="1:10" x14ac:dyDescent="0.45">
      <c r="A52" s="8">
        <v>1022</v>
      </c>
      <c r="B52" s="12">
        <v>46190</v>
      </c>
      <c r="C52" s="8" t="s">
        <v>26</v>
      </c>
      <c r="D52" s="8" t="s">
        <v>51</v>
      </c>
      <c r="E52" s="8" t="s">
        <v>17</v>
      </c>
      <c r="F52" s="8" t="s">
        <v>8</v>
      </c>
      <c r="G52" s="8">
        <v>9</v>
      </c>
      <c r="H52" s="13">
        <v>1180.1300000000001</v>
      </c>
      <c r="I52" s="13">
        <v>10621.17</v>
      </c>
      <c r="J52" s="8" t="s">
        <v>47</v>
      </c>
    </row>
    <row r="53" spans="1:10" x14ac:dyDescent="0.45">
      <c r="A53" s="8">
        <v>1027</v>
      </c>
      <c r="B53" s="12">
        <v>46190</v>
      </c>
      <c r="C53" s="8" t="s">
        <v>27</v>
      </c>
      <c r="D53" s="8" t="s">
        <v>40</v>
      </c>
      <c r="E53" s="8" t="s">
        <v>48</v>
      </c>
      <c r="F53" s="8" t="s">
        <v>10</v>
      </c>
      <c r="G53" s="8">
        <v>9</v>
      </c>
      <c r="H53" s="13">
        <v>91.82</v>
      </c>
      <c r="I53" s="13">
        <v>826.38</v>
      </c>
      <c r="J53" s="8" t="s">
        <v>42</v>
      </c>
    </row>
    <row r="54" spans="1:10" x14ac:dyDescent="0.45">
      <c r="A54" s="8">
        <v>1072</v>
      </c>
      <c r="B54" s="12">
        <v>46190</v>
      </c>
      <c r="C54" s="8" t="s">
        <v>28</v>
      </c>
      <c r="D54" s="8" t="s">
        <v>40</v>
      </c>
      <c r="E54" s="8" t="s">
        <v>19</v>
      </c>
      <c r="F54" s="8" t="s">
        <v>9</v>
      </c>
      <c r="G54" s="8">
        <v>12</v>
      </c>
      <c r="H54" s="13">
        <v>332.8</v>
      </c>
      <c r="I54" s="13">
        <v>3993.6</v>
      </c>
      <c r="J54" s="8" t="s">
        <v>39</v>
      </c>
    </row>
    <row r="55" spans="1:10" x14ac:dyDescent="0.45">
      <c r="A55" s="8">
        <v>1001</v>
      </c>
      <c r="B55" s="12">
        <v>46191</v>
      </c>
      <c r="C55" s="8" t="s">
        <v>26</v>
      </c>
      <c r="D55" s="8" t="s">
        <v>52</v>
      </c>
      <c r="E55" s="8" t="s">
        <v>19</v>
      </c>
      <c r="F55" s="8" t="s">
        <v>9</v>
      </c>
      <c r="G55" s="8">
        <v>11</v>
      </c>
      <c r="H55" s="13">
        <v>327.7</v>
      </c>
      <c r="I55" s="13">
        <v>3604.7</v>
      </c>
      <c r="J55" s="8" t="s">
        <v>39</v>
      </c>
    </row>
    <row r="56" spans="1:10" x14ac:dyDescent="0.45">
      <c r="A56" s="8">
        <v>1016</v>
      </c>
      <c r="B56" s="12">
        <v>46191</v>
      </c>
      <c r="C56" s="8" t="s">
        <v>28</v>
      </c>
      <c r="D56" s="8" t="s">
        <v>52</v>
      </c>
      <c r="E56" s="8" t="s">
        <v>45</v>
      </c>
      <c r="F56" s="8" t="s">
        <v>10</v>
      </c>
      <c r="G56" s="8">
        <v>4</v>
      </c>
      <c r="H56" s="13">
        <v>215.14</v>
      </c>
      <c r="I56" s="13">
        <v>860.56</v>
      </c>
      <c r="J56" s="8" t="s">
        <v>39</v>
      </c>
    </row>
    <row r="57" spans="1:10" x14ac:dyDescent="0.45">
      <c r="A57" s="8">
        <v>1026</v>
      </c>
      <c r="B57" s="12">
        <v>46191</v>
      </c>
      <c r="C57" s="8" t="s">
        <v>25</v>
      </c>
      <c r="D57" s="8" t="s">
        <v>54</v>
      </c>
      <c r="E57" s="8" t="s">
        <v>48</v>
      </c>
      <c r="F57" s="8" t="s">
        <v>10</v>
      </c>
      <c r="G57" s="8">
        <v>2</v>
      </c>
      <c r="H57" s="13">
        <v>99.54</v>
      </c>
      <c r="I57" s="13">
        <v>199.08</v>
      </c>
      <c r="J57" s="8" t="s">
        <v>47</v>
      </c>
    </row>
    <row r="58" spans="1:10" x14ac:dyDescent="0.45">
      <c r="A58" s="8">
        <v>1030</v>
      </c>
      <c r="B58" s="12">
        <v>46191</v>
      </c>
      <c r="C58" s="8" t="s">
        <v>25</v>
      </c>
      <c r="D58" s="8" t="s">
        <v>52</v>
      </c>
      <c r="E58" s="8" t="s">
        <v>19</v>
      </c>
      <c r="F58" s="8" t="s">
        <v>9</v>
      </c>
      <c r="G58" s="8">
        <v>6</v>
      </c>
      <c r="H58" s="13">
        <v>304.67</v>
      </c>
      <c r="I58" s="13">
        <v>1828.02</v>
      </c>
      <c r="J58" s="8" t="s">
        <v>42</v>
      </c>
    </row>
    <row r="59" spans="1:10" x14ac:dyDescent="0.45">
      <c r="A59" s="8">
        <v>1038</v>
      </c>
      <c r="B59" s="12">
        <v>46191</v>
      </c>
      <c r="C59" s="8" t="s">
        <v>26</v>
      </c>
      <c r="D59" s="8" t="s">
        <v>41</v>
      </c>
      <c r="E59" s="8" t="s">
        <v>19</v>
      </c>
      <c r="F59" s="8" t="s">
        <v>9</v>
      </c>
      <c r="G59" s="8">
        <v>1</v>
      </c>
      <c r="H59" s="13">
        <v>324.87</v>
      </c>
      <c r="I59" s="13">
        <v>324.87</v>
      </c>
      <c r="J59" s="8" t="s">
        <v>42</v>
      </c>
    </row>
    <row r="60" spans="1:10" x14ac:dyDescent="0.45">
      <c r="A60" s="8">
        <v>1052</v>
      </c>
      <c r="B60" s="12">
        <v>46191</v>
      </c>
      <c r="C60" s="8" t="s">
        <v>28</v>
      </c>
      <c r="D60" s="8" t="s">
        <v>41</v>
      </c>
      <c r="E60" s="8" t="s">
        <v>46</v>
      </c>
      <c r="F60" s="8" t="s">
        <v>9</v>
      </c>
      <c r="G60" s="8">
        <v>1</v>
      </c>
      <c r="H60" s="13">
        <v>183.02</v>
      </c>
      <c r="I60" s="13">
        <v>183.02</v>
      </c>
      <c r="J60" s="8" t="s">
        <v>42</v>
      </c>
    </row>
    <row r="61" spans="1:10" x14ac:dyDescent="0.45">
      <c r="A61" s="8">
        <v>1057</v>
      </c>
      <c r="B61" s="12">
        <v>46191</v>
      </c>
      <c r="C61" s="8" t="s">
        <v>26</v>
      </c>
      <c r="D61" s="8" t="s">
        <v>41</v>
      </c>
      <c r="E61" s="8" t="s">
        <v>48</v>
      </c>
      <c r="F61" s="8" t="s">
        <v>10</v>
      </c>
      <c r="G61" s="8">
        <v>9</v>
      </c>
      <c r="H61" s="13">
        <v>96.95</v>
      </c>
      <c r="I61" s="13">
        <v>872.55</v>
      </c>
      <c r="J61" s="8" t="s">
        <v>42</v>
      </c>
    </row>
    <row r="62" spans="1:10" x14ac:dyDescent="0.45">
      <c r="A62" s="8">
        <v>1025</v>
      </c>
      <c r="B62" s="12">
        <v>46192</v>
      </c>
      <c r="C62" s="8" t="s">
        <v>26</v>
      </c>
      <c r="D62" s="8" t="s">
        <v>41</v>
      </c>
      <c r="E62" s="8" t="s">
        <v>18</v>
      </c>
      <c r="F62" s="8" t="s">
        <v>11</v>
      </c>
      <c r="G62" s="8">
        <v>1</v>
      </c>
      <c r="H62" s="13">
        <v>954.61</v>
      </c>
      <c r="I62" s="13">
        <v>954.61</v>
      </c>
      <c r="J62" s="8" t="s">
        <v>47</v>
      </c>
    </row>
    <row r="63" spans="1:10" x14ac:dyDescent="0.45">
      <c r="A63" s="8">
        <v>1033</v>
      </c>
      <c r="B63" s="12">
        <v>46192</v>
      </c>
      <c r="C63" s="8" t="s">
        <v>27</v>
      </c>
      <c r="D63" s="8" t="s">
        <v>49</v>
      </c>
      <c r="E63" s="8" t="s">
        <v>45</v>
      </c>
      <c r="F63" s="8" t="s">
        <v>10</v>
      </c>
      <c r="G63" s="8">
        <v>12</v>
      </c>
      <c r="H63" s="13">
        <v>219.15</v>
      </c>
      <c r="I63" s="13">
        <v>2629.8</v>
      </c>
      <c r="J63" s="8" t="s">
        <v>42</v>
      </c>
    </row>
    <row r="64" spans="1:10" x14ac:dyDescent="0.45">
      <c r="A64" s="8">
        <v>1049</v>
      </c>
      <c r="B64" s="12">
        <v>46192</v>
      </c>
      <c r="C64" s="8" t="s">
        <v>26</v>
      </c>
      <c r="D64" s="8" t="s">
        <v>41</v>
      </c>
      <c r="E64" s="8" t="s">
        <v>16</v>
      </c>
      <c r="F64" s="8" t="s">
        <v>9</v>
      </c>
      <c r="G64" s="8">
        <v>8</v>
      </c>
      <c r="H64" s="13">
        <v>1467.57</v>
      </c>
      <c r="I64" s="13">
        <v>11740.56</v>
      </c>
      <c r="J64" s="8" t="s">
        <v>47</v>
      </c>
    </row>
    <row r="65" spans="1:10" x14ac:dyDescent="0.45">
      <c r="A65" s="8">
        <v>1010</v>
      </c>
      <c r="B65" s="12">
        <v>46194</v>
      </c>
      <c r="C65" s="8" t="s">
        <v>28</v>
      </c>
      <c r="D65" s="8" t="s">
        <v>54</v>
      </c>
      <c r="E65" s="8" t="s">
        <v>19</v>
      </c>
      <c r="F65" s="8" t="s">
        <v>9</v>
      </c>
      <c r="G65" s="8">
        <v>7</v>
      </c>
      <c r="H65" s="13">
        <v>312.89999999999998</v>
      </c>
      <c r="I65" s="13">
        <v>2190.3000000000002</v>
      </c>
      <c r="J65" s="8" t="s">
        <v>39</v>
      </c>
    </row>
    <row r="66" spans="1:10" x14ac:dyDescent="0.45">
      <c r="A66" s="8">
        <v>1015</v>
      </c>
      <c r="B66" s="12">
        <v>46194</v>
      </c>
      <c r="C66" s="8" t="s">
        <v>24</v>
      </c>
      <c r="D66" s="8" t="s">
        <v>54</v>
      </c>
      <c r="E66" s="8" t="s">
        <v>48</v>
      </c>
      <c r="F66" s="8" t="s">
        <v>10</v>
      </c>
      <c r="G66" s="8">
        <v>7</v>
      </c>
      <c r="H66" s="13">
        <v>98.65</v>
      </c>
      <c r="I66" s="13">
        <v>690.55</v>
      </c>
      <c r="J66" s="8" t="s">
        <v>39</v>
      </c>
    </row>
    <row r="67" spans="1:10" x14ac:dyDescent="0.45">
      <c r="A67" s="8">
        <v>1020</v>
      </c>
      <c r="B67" s="12">
        <v>46195</v>
      </c>
      <c r="C67" s="8" t="s">
        <v>27</v>
      </c>
      <c r="D67" s="8" t="s">
        <v>51</v>
      </c>
      <c r="E67" s="8" t="s">
        <v>16</v>
      </c>
      <c r="F67" s="8" t="s">
        <v>9</v>
      </c>
      <c r="G67" s="8">
        <v>11</v>
      </c>
      <c r="H67" s="13">
        <v>1482</v>
      </c>
      <c r="I67" s="13">
        <v>16302</v>
      </c>
      <c r="J67" s="8" t="s">
        <v>47</v>
      </c>
    </row>
    <row r="68" spans="1:10" x14ac:dyDescent="0.45">
      <c r="A68" s="8">
        <v>1084</v>
      </c>
      <c r="B68" s="12">
        <v>46195</v>
      </c>
      <c r="C68" s="8" t="s">
        <v>27</v>
      </c>
      <c r="D68" s="8" t="s">
        <v>55</v>
      </c>
      <c r="E68" s="8" t="s">
        <v>48</v>
      </c>
      <c r="F68" s="8" t="s">
        <v>10</v>
      </c>
      <c r="G68" s="8">
        <v>3</v>
      </c>
      <c r="H68" s="13">
        <v>97.86</v>
      </c>
      <c r="I68" s="13">
        <v>293.58</v>
      </c>
      <c r="J68" s="8" t="s">
        <v>47</v>
      </c>
    </row>
    <row r="69" spans="1:10" x14ac:dyDescent="0.45">
      <c r="A69" s="8">
        <v>1094</v>
      </c>
      <c r="B69" s="12">
        <v>46195</v>
      </c>
      <c r="C69" s="8" t="s">
        <v>24</v>
      </c>
      <c r="D69" s="8" t="s">
        <v>54</v>
      </c>
      <c r="E69" s="8" t="s">
        <v>48</v>
      </c>
      <c r="F69" s="8" t="s">
        <v>10</v>
      </c>
      <c r="G69" s="8">
        <v>1</v>
      </c>
      <c r="H69" s="13">
        <v>93.94</v>
      </c>
      <c r="I69" s="13">
        <v>93.94</v>
      </c>
      <c r="J69" s="8" t="s">
        <v>39</v>
      </c>
    </row>
    <row r="70" spans="1:10" x14ac:dyDescent="0.45">
      <c r="A70" s="8">
        <v>1003</v>
      </c>
      <c r="B70" s="12">
        <v>46196</v>
      </c>
      <c r="C70" s="8" t="s">
        <v>27</v>
      </c>
      <c r="D70" s="8" t="s">
        <v>40</v>
      </c>
      <c r="E70" s="8" t="s">
        <v>46</v>
      </c>
      <c r="F70" s="8" t="s">
        <v>9</v>
      </c>
      <c r="G70" s="8">
        <v>4</v>
      </c>
      <c r="H70" s="13">
        <v>183.89</v>
      </c>
      <c r="I70" s="13">
        <v>735.56</v>
      </c>
      <c r="J70" s="8" t="s">
        <v>42</v>
      </c>
    </row>
    <row r="71" spans="1:10" x14ac:dyDescent="0.45">
      <c r="A71" s="8">
        <v>1011</v>
      </c>
      <c r="B71" s="12">
        <v>46196</v>
      </c>
      <c r="C71" s="8" t="s">
        <v>26</v>
      </c>
      <c r="D71" s="8" t="s">
        <v>52</v>
      </c>
      <c r="E71" s="8" t="s">
        <v>53</v>
      </c>
      <c r="F71" s="8" t="s">
        <v>8</v>
      </c>
      <c r="G71" s="8">
        <v>4</v>
      </c>
      <c r="H71" s="13">
        <v>45.77</v>
      </c>
      <c r="I71" s="13">
        <v>183.08</v>
      </c>
      <c r="J71" s="8" t="s">
        <v>47</v>
      </c>
    </row>
    <row r="72" spans="1:10" x14ac:dyDescent="0.45">
      <c r="A72" s="8">
        <v>1028</v>
      </c>
      <c r="B72" s="12">
        <v>46196</v>
      </c>
      <c r="C72" s="8" t="s">
        <v>28</v>
      </c>
      <c r="D72" s="8" t="s">
        <v>40</v>
      </c>
      <c r="E72" s="8" t="s">
        <v>46</v>
      </c>
      <c r="F72" s="8" t="s">
        <v>9</v>
      </c>
      <c r="G72" s="8">
        <v>12</v>
      </c>
      <c r="H72" s="13">
        <v>183.42</v>
      </c>
      <c r="I72" s="13">
        <v>2201.04</v>
      </c>
      <c r="J72" s="8" t="s">
        <v>47</v>
      </c>
    </row>
    <row r="73" spans="1:10" x14ac:dyDescent="0.45">
      <c r="A73" s="8">
        <v>1047</v>
      </c>
      <c r="B73" s="12">
        <v>46196</v>
      </c>
      <c r="C73" s="8" t="s">
        <v>28</v>
      </c>
      <c r="D73" s="8" t="s">
        <v>44</v>
      </c>
      <c r="E73" s="8" t="s">
        <v>53</v>
      </c>
      <c r="F73" s="8" t="s">
        <v>8</v>
      </c>
      <c r="G73" s="8">
        <v>5</v>
      </c>
      <c r="H73" s="13">
        <v>43.67</v>
      </c>
      <c r="I73" s="13">
        <v>218.35</v>
      </c>
      <c r="J73" s="8" t="s">
        <v>39</v>
      </c>
    </row>
    <row r="74" spans="1:10" x14ac:dyDescent="0.45">
      <c r="A74" s="8">
        <v>1053</v>
      </c>
      <c r="B74" s="12">
        <v>46197</v>
      </c>
      <c r="C74" s="8" t="s">
        <v>27</v>
      </c>
      <c r="D74" s="8" t="s">
        <v>54</v>
      </c>
      <c r="E74" s="8" t="s">
        <v>17</v>
      </c>
      <c r="F74" s="8" t="s">
        <v>8</v>
      </c>
      <c r="G74" s="8">
        <v>2</v>
      </c>
      <c r="H74" s="13">
        <v>1194.82</v>
      </c>
      <c r="I74" s="13">
        <v>2389.64</v>
      </c>
      <c r="J74" s="8" t="s">
        <v>39</v>
      </c>
    </row>
    <row r="75" spans="1:10" x14ac:dyDescent="0.45">
      <c r="A75" s="8">
        <v>1085</v>
      </c>
      <c r="B75" s="12">
        <v>46197</v>
      </c>
      <c r="C75" s="8" t="s">
        <v>27</v>
      </c>
      <c r="D75" s="8" t="s">
        <v>40</v>
      </c>
      <c r="E75" s="8" t="s">
        <v>53</v>
      </c>
      <c r="F75" s="8" t="s">
        <v>8</v>
      </c>
      <c r="G75" s="8">
        <v>8</v>
      </c>
      <c r="H75" s="13">
        <v>45.51</v>
      </c>
      <c r="I75" s="13">
        <v>364.08</v>
      </c>
      <c r="J75" s="8" t="s">
        <v>47</v>
      </c>
    </row>
    <row r="76" spans="1:10" x14ac:dyDescent="0.45">
      <c r="A76" s="8">
        <v>1009</v>
      </c>
      <c r="B76" s="12">
        <v>46198</v>
      </c>
      <c r="C76" s="8" t="s">
        <v>28</v>
      </c>
      <c r="D76" s="8" t="s">
        <v>41</v>
      </c>
      <c r="E76" s="8" t="s">
        <v>19</v>
      </c>
      <c r="F76" s="8" t="s">
        <v>9</v>
      </c>
      <c r="G76" s="8">
        <v>1</v>
      </c>
      <c r="H76" s="13">
        <v>325.16000000000003</v>
      </c>
      <c r="I76" s="13">
        <v>325.16000000000003</v>
      </c>
      <c r="J76" s="8" t="s">
        <v>42</v>
      </c>
    </row>
    <row r="77" spans="1:10" x14ac:dyDescent="0.45">
      <c r="A77" s="8">
        <v>1060</v>
      </c>
      <c r="B77" s="12">
        <v>46198</v>
      </c>
      <c r="C77" s="8" t="s">
        <v>27</v>
      </c>
      <c r="D77" s="8" t="s">
        <v>40</v>
      </c>
      <c r="E77" s="8" t="s">
        <v>18</v>
      </c>
      <c r="F77" s="8" t="s">
        <v>11</v>
      </c>
      <c r="G77" s="8">
        <v>11</v>
      </c>
      <c r="H77" s="13">
        <v>941.07</v>
      </c>
      <c r="I77" s="13">
        <v>10351.77</v>
      </c>
      <c r="J77" s="8" t="s">
        <v>47</v>
      </c>
    </row>
    <row r="78" spans="1:10" x14ac:dyDescent="0.45">
      <c r="A78" s="8">
        <v>1061</v>
      </c>
      <c r="B78" s="12">
        <v>46199</v>
      </c>
      <c r="C78" s="8" t="s">
        <v>25</v>
      </c>
      <c r="D78" s="8" t="s">
        <v>40</v>
      </c>
      <c r="E78" s="8" t="s">
        <v>45</v>
      </c>
      <c r="F78" s="8" t="s">
        <v>10</v>
      </c>
      <c r="G78" s="8">
        <v>4</v>
      </c>
      <c r="H78" s="13">
        <v>217.66</v>
      </c>
      <c r="I78" s="13">
        <v>870.64</v>
      </c>
      <c r="J78" s="8" t="s">
        <v>42</v>
      </c>
    </row>
    <row r="79" spans="1:10" x14ac:dyDescent="0.45">
      <c r="A79" s="8">
        <v>1062</v>
      </c>
      <c r="B79" s="12">
        <v>46199</v>
      </c>
      <c r="C79" s="8" t="s">
        <v>24</v>
      </c>
      <c r="D79" s="8" t="s">
        <v>44</v>
      </c>
      <c r="E79" s="8" t="s">
        <v>45</v>
      </c>
      <c r="F79" s="8" t="s">
        <v>10</v>
      </c>
      <c r="G79" s="8">
        <v>12</v>
      </c>
      <c r="H79" s="13">
        <v>218.91</v>
      </c>
      <c r="I79" s="13">
        <v>2626.92</v>
      </c>
      <c r="J79" s="8" t="s">
        <v>39</v>
      </c>
    </row>
    <row r="80" spans="1:10" x14ac:dyDescent="0.45">
      <c r="A80" s="8">
        <v>1070</v>
      </c>
      <c r="B80" s="12">
        <v>46199</v>
      </c>
      <c r="C80" s="8" t="s">
        <v>27</v>
      </c>
      <c r="D80" s="8" t="s">
        <v>44</v>
      </c>
      <c r="E80" s="8" t="s">
        <v>20</v>
      </c>
      <c r="F80" s="8" t="s">
        <v>12</v>
      </c>
      <c r="G80" s="8">
        <v>1</v>
      </c>
      <c r="H80" s="13">
        <v>260.52</v>
      </c>
      <c r="I80" s="13">
        <v>260.52</v>
      </c>
      <c r="J80" s="8" t="s">
        <v>39</v>
      </c>
    </row>
    <row r="81" spans="1:10" x14ac:dyDescent="0.45">
      <c r="A81" s="8">
        <v>1013</v>
      </c>
      <c r="B81" s="12">
        <v>46200</v>
      </c>
      <c r="C81" s="8" t="s">
        <v>26</v>
      </c>
      <c r="D81" s="8" t="s">
        <v>44</v>
      </c>
      <c r="E81" s="8" t="s">
        <v>46</v>
      </c>
      <c r="F81" s="8" t="s">
        <v>9</v>
      </c>
      <c r="G81" s="8">
        <v>4</v>
      </c>
      <c r="H81" s="13">
        <v>183.32</v>
      </c>
      <c r="I81" s="13">
        <v>733.28</v>
      </c>
      <c r="J81" s="8" t="s">
        <v>42</v>
      </c>
    </row>
    <row r="82" spans="1:10" x14ac:dyDescent="0.45">
      <c r="A82" s="8">
        <v>1051</v>
      </c>
      <c r="B82" s="12">
        <v>46200</v>
      </c>
      <c r="C82" s="8" t="s">
        <v>27</v>
      </c>
      <c r="D82" s="8" t="s">
        <v>51</v>
      </c>
      <c r="E82" s="8" t="s">
        <v>53</v>
      </c>
      <c r="F82" s="8" t="s">
        <v>8</v>
      </c>
      <c r="G82" s="8">
        <v>5</v>
      </c>
      <c r="H82" s="13">
        <v>43.46</v>
      </c>
      <c r="I82" s="13">
        <v>217.3</v>
      </c>
      <c r="J82" s="8" t="s">
        <v>47</v>
      </c>
    </row>
    <row r="83" spans="1:10" x14ac:dyDescent="0.45">
      <c r="A83" s="8">
        <v>1064</v>
      </c>
      <c r="B83" s="12">
        <v>46200</v>
      </c>
      <c r="C83" s="8" t="s">
        <v>25</v>
      </c>
      <c r="D83" s="8" t="s">
        <v>44</v>
      </c>
      <c r="E83" s="8" t="s">
        <v>18</v>
      </c>
      <c r="F83" s="8" t="s">
        <v>11</v>
      </c>
      <c r="G83" s="8">
        <v>8</v>
      </c>
      <c r="H83" s="13">
        <v>965.27</v>
      </c>
      <c r="I83" s="13">
        <v>7722.16</v>
      </c>
      <c r="J83" s="8" t="s">
        <v>42</v>
      </c>
    </row>
    <row r="84" spans="1:10" x14ac:dyDescent="0.45">
      <c r="A84" s="8">
        <v>1066</v>
      </c>
      <c r="B84" s="12">
        <v>46200</v>
      </c>
      <c r="C84" s="8" t="s">
        <v>27</v>
      </c>
      <c r="D84" s="8" t="s">
        <v>38</v>
      </c>
      <c r="E84" s="8" t="s">
        <v>46</v>
      </c>
      <c r="F84" s="8" t="s">
        <v>9</v>
      </c>
      <c r="G84" s="8">
        <v>7</v>
      </c>
      <c r="H84" s="13">
        <v>183.23</v>
      </c>
      <c r="I84" s="13">
        <v>1282.6099999999999</v>
      </c>
      <c r="J84" s="8" t="s">
        <v>42</v>
      </c>
    </row>
    <row r="85" spans="1:10" x14ac:dyDescent="0.45">
      <c r="A85" s="8">
        <v>1004</v>
      </c>
      <c r="B85" s="12">
        <v>46201</v>
      </c>
      <c r="C85" s="8" t="s">
        <v>26</v>
      </c>
      <c r="D85" s="8" t="s">
        <v>54</v>
      </c>
      <c r="E85" s="8" t="s">
        <v>48</v>
      </c>
      <c r="F85" s="8" t="s">
        <v>10</v>
      </c>
      <c r="G85" s="8">
        <v>10</v>
      </c>
      <c r="H85" s="13">
        <v>92.89</v>
      </c>
      <c r="I85" s="13">
        <v>928.9</v>
      </c>
      <c r="J85" s="8" t="s">
        <v>47</v>
      </c>
    </row>
    <row r="86" spans="1:10" x14ac:dyDescent="0.45">
      <c r="A86" s="8">
        <v>1008</v>
      </c>
      <c r="B86" s="12">
        <v>46201</v>
      </c>
      <c r="C86" s="8" t="s">
        <v>28</v>
      </c>
      <c r="D86" s="8" t="s">
        <v>52</v>
      </c>
      <c r="E86" s="8" t="s">
        <v>17</v>
      </c>
      <c r="F86" s="8" t="s">
        <v>8</v>
      </c>
      <c r="G86" s="8">
        <v>11</v>
      </c>
      <c r="H86" s="13">
        <v>1163.6300000000001</v>
      </c>
      <c r="I86" s="13">
        <v>12799.93</v>
      </c>
      <c r="J86" s="8" t="s">
        <v>42</v>
      </c>
    </row>
    <row r="87" spans="1:10" x14ac:dyDescent="0.45">
      <c r="A87" s="8">
        <v>1043</v>
      </c>
      <c r="B87" s="12">
        <v>46201</v>
      </c>
      <c r="C87" s="8" t="s">
        <v>27</v>
      </c>
      <c r="D87" s="8" t="s">
        <v>54</v>
      </c>
      <c r="E87" s="8" t="s">
        <v>50</v>
      </c>
      <c r="F87" s="8" t="s">
        <v>9</v>
      </c>
      <c r="G87" s="8">
        <v>8</v>
      </c>
      <c r="H87" s="13">
        <v>65.02</v>
      </c>
      <c r="I87" s="13">
        <v>520.16</v>
      </c>
      <c r="J87" s="8" t="s">
        <v>42</v>
      </c>
    </row>
    <row r="88" spans="1:10" x14ac:dyDescent="0.45">
      <c r="A88" s="8">
        <v>1055</v>
      </c>
      <c r="B88" s="12">
        <v>46201</v>
      </c>
      <c r="C88" s="8" t="s">
        <v>26</v>
      </c>
      <c r="D88" s="8" t="s">
        <v>41</v>
      </c>
      <c r="E88" s="8" t="s">
        <v>48</v>
      </c>
      <c r="F88" s="8" t="s">
        <v>10</v>
      </c>
      <c r="G88" s="8">
        <v>5</v>
      </c>
      <c r="H88" s="13">
        <v>98.85</v>
      </c>
      <c r="I88" s="13">
        <v>494.25</v>
      </c>
      <c r="J88" s="8" t="s">
        <v>47</v>
      </c>
    </row>
    <row r="89" spans="1:10" x14ac:dyDescent="0.45">
      <c r="A89" s="8">
        <v>1063</v>
      </c>
      <c r="B89" s="12">
        <v>46201</v>
      </c>
      <c r="C89" s="8" t="s">
        <v>26</v>
      </c>
      <c r="D89" s="8" t="s">
        <v>49</v>
      </c>
      <c r="E89" s="8" t="s">
        <v>45</v>
      </c>
      <c r="F89" s="8" t="s">
        <v>10</v>
      </c>
      <c r="G89" s="8">
        <v>12</v>
      </c>
      <c r="H89" s="13">
        <v>201.77</v>
      </c>
      <c r="I89" s="13">
        <v>2421.2399999999998</v>
      </c>
      <c r="J89" s="8" t="s">
        <v>42</v>
      </c>
    </row>
    <row r="90" spans="1:10" x14ac:dyDescent="0.45">
      <c r="A90" s="8">
        <v>1065</v>
      </c>
      <c r="B90" s="12">
        <v>46201</v>
      </c>
      <c r="C90" s="8" t="s">
        <v>26</v>
      </c>
      <c r="D90" s="8" t="s">
        <v>51</v>
      </c>
      <c r="E90" s="8" t="s">
        <v>18</v>
      </c>
      <c r="F90" s="8" t="s">
        <v>11</v>
      </c>
      <c r="G90" s="8">
        <v>7</v>
      </c>
      <c r="H90" s="13">
        <v>963.17</v>
      </c>
      <c r="I90" s="13">
        <v>6742.19</v>
      </c>
      <c r="J90" s="8" t="s">
        <v>39</v>
      </c>
    </row>
    <row r="91" spans="1:10" x14ac:dyDescent="0.45">
      <c r="A91" s="8">
        <v>1045</v>
      </c>
      <c r="B91" s="12">
        <v>46202</v>
      </c>
      <c r="C91" s="8" t="s">
        <v>27</v>
      </c>
      <c r="D91" s="8" t="s">
        <v>44</v>
      </c>
      <c r="E91" s="8" t="s">
        <v>18</v>
      </c>
      <c r="F91" s="8" t="s">
        <v>11</v>
      </c>
      <c r="G91" s="8">
        <v>7</v>
      </c>
      <c r="H91" s="13">
        <v>942.75</v>
      </c>
      <c r="I91" s="13">
        <v>6599.25</v>
      </c>
      <c r="J91" s="8" t="s">
        <v>47</v>
      </c>
    </row>
    <row r="92" spans="1:10" x14ac:dyDescent="0.45">
      <c r="A92" s="8">
        <v>1077</v>
      </c>
      <c r="B92" s="12">
        <v>46202</v>
      </c>
      <c r="C92" s="8" t="s">
        <v>25</v>
      </c>
      <c r="D92" s="8" t="s">
        <v>41</v>
      </c>
      <c r="E92" s="8" t="s">
        <v>18</v>
      </c>
      <c r="F92" s="8" t="s">
        <v>11</v>
      </c>
      <c r="G92" s="8">
        <v>9</v>
      </c>
      <c r="H92" s="13">
        <v>977.37</v>
      </c>
      <c r="I92" s="13">
        <v>8796.33</v>
      </c>
      <c r="J92" s="8" t="s">
        <v>39</v>
      </c>
    </row>
    <row r="93" spans="1:10" x14ac:dyDescent="0.45">
      <c r="A93" s="8">
        <v>1082</v>
      </c>
      <c r="B93" s="12">
        <v>46202</v>
      </c>
      <c r="C93" s="8" t="s">
        <v>26</v>
      </c>
      <c r="D93" s="8" t="s">
        <v>40</v>
      </c>
      <c r="E93" s="8" t="s">
        <v>45</v>
      </c>
      <c r="F93" s="8" t="s">
        <v>10</v>
      </c>
      <c r="G93" s="8">
        <v>11</v>
      </c>
      <c r="H93" s="13">
        <v>213.94</v>
      </c>
      <c r="I93" s="13">
        <v>2353.34</v>
      </c>
      <c r="J93" s="8" t="s">
        <v>42</v>
      </c>
    </row>
    <row r="94" spans="1:10" x14ac:dyDescent="0.45">
      <c r="A94" s="8">
        <v>1007</v>
      </c>
      <c r="B94" s="12">
        <v>46203</v>
      </c>
      <c r="C94" s="8" t="s">
        <v>24</v>
      </c>
      <c r="D94" s="8" t="s">
        <v>41</v>
      </c>
      <c r="E94" s="8" t="s">
        <v>48</v>
      </c>
      <c r="F94" s="8" t="s">
        <v>10</v>
      </c>
      <c r="G94" s="8">
        <v>9</v>
      </c>
      <c r="H94" s="13">
        <v>91.44</v>
      </c>
      <c r="I94" s="13">
        <v>822.96</v>
      </c>
      <c r="J94" s="8" t="s">
        <v>47</v>
      </c>
    </row>
    <row r="95" spans="1:10" x14ac:dyDescent="0.45">
      <c r="A95" s="8">
        <v>1050</v>
      </c>
      <c r="B95" s="12">
        <v>46203</v>
      </c>
      <c r="C95" s="8" t="s">
        <v>28</v>
      </c>
      <c r="D95" s="8" t="s">
        <v>41</v>
      </c>
      <c r="E95" s="8" t="s">
        <v>18</v>
      </c>
      <c r="F95" s="8" t="s">
        <v>11</v>
      </c>
      <c r="G95" s="8">
        <v>9</v>
      </c>
      <c r="H95" s="13">
        <v>956.99</v>
      </c>
      <c r="I95" s="13">
        <v>8612.91</v>
      </c>
      <c r="J95" s="8" t="s">
        <v>42</v>
      </c>
    </row>
    <row r="96" spans="1:10" x14ac:dyDescent="0.45">
      <c r="A96" s="8">
        <v>1071</v>
      </c>
      <c r="B96" s="12">
        <v>46203</v>
      </c>
      <c r="C96" s="8" t="s">
        <v>28</v>
      </c>
      <c r="D96" s="8" t="s">
        <v>52</v>
      </c>
      <c r="E96" s="8" t="s">
        <v>20</v>
      </c>
      <c r="F96" s="8" t="s">
        <v>12</v>
      </c>
      <c r="G96" s="8">
        <v>2</v>
      </c>
      <c r="H96" s="13">
        <v>271.67</v>
      </c>
      <c r="I96" s="13">
        <v>543.34</v>
      </c>
      <c r="J96" s="8" t="s">
        <v>39</v>
      </c>
    </row>
    <row r="97" spans="1:10" x14ac:dyDescent="0.45">
      <c r="A97" s="8">
        <v>1111</v>
      </c>
      <c r="B97" s="12">
        <v>46204</v>
      </c>
      <c r="C97" s="8" t="s">
        <v>24</v>
      </c>
      <c r="D97" s="8" t="s">
        <v>38</v>
      </c>
      <c r="E97" s="8" t="s">
        <v>50</v>
      </c>
      <c r="F97" s="8" t="s">
        <v>9</v>
      </c>
      <c r="G97" s="8">
        <v>11</v>
      </c>
      <c r="H97" s="13">
        <v>64.209999999999994</v>
      </c>
      <c r="I97" s="13">
        <v>706.31</v>
      </c>
      <c r="J97" s="8" t="s">
        <v>42</v>
      </c>
    </row>
    <row r="98" spans="1:10" x14ac:dyDescent="0.45">
      <c r="A98" s="8">
        <v>1159</v>
      </c>
      <c r="B98" s="12">
        <v>46204</v>
      </c>
      <c r="C98" s="8" t="s">
        <v>25</v>
      </c>
      <c r="D98" s="8" t="s">
        <v>40</v>
      </c>
      <c r="E98" s="8" t="s">
        <v>19</v>
      </c>
      <c r="F98" s="8" t="s">
        <v>9</v>
      </c>
      <c r="G98" s="8">
        <v>9</v>
      </c>
      <c r="H98" s="13">
        <v>333.13</v>
      </c>
      <c r="I98" s="13">
        <v>2998.17</v>
      </c>
      <c r="J98" s="8" t="s">
        <v>47</v>
      </c>
    </row>
    <row r="99" spans="1:10" x14ac:dyDescent="0.45">
      <c r="A99" s="8">
        <v>1168</v>
      </c>
      <c r="B99" s="12">
        <v>46204</v>
      </c>
      <c r="C99" s="8" t="s">
        <v>24</v>
      </c>
      <c r="D99" s="8" t="s">
        <v>51</v>
      </c>
      <c r="E99" s="8" t="s">
        <v>17</v>
      </c>
      <c r="F99" s="8" t="s">
        <v>8</v>
      </c>
      <c r="G99" s="8">
        <v>8</v>
      </c>
      <c r="H99" s="13">
        <v>1121.8599999999999</v>
      </c>
      <c r="I99" s="13">
        <v>8974.8799999999992</v>
      </c>
      <c r="J99" s="8" t="s">
        <v>47</v>
      </c>
    </row>
    <row r="100" spans="1:10" x14ac:dyDescent="0.45">
      <c r="A100" s="8">
        <v>1173</v>
      </c>
      <c r="B100" s="12">
        <v>46205</v>
      </c>
      <c r="C100" s="8" t="s">
        <v>27</v>
      </c>
      <c r="D100" s="8" t="s">
        <v>49</v>
      </c>
      <c r="E100" s="8" t="s">
        <v>50</v>
      </c>
      <c r="F100" s="8" t="s">
        <v>9</v>
      </c>
      <c r="G100" s="8">
        <v>11</v>
      </c>
      <c r="H100" s="13">
        <v>66.81</v>
      </c>
      <c r="I100" s="13">
        <v>734.91</v>
      </c>
      <c r="J100" s="8" t="s">
        <v>39</v>
      </c>
    </row>
    <row r="101" spans="1:10" x14ac:dyDescent="0.45">
      <c r="A101" s="8">
        <v>1098</v>
      </c>
      <c r="B101" s="12">
        <v>46206</v>
      </c>
      <c r="C101" s="8" t="s">
        <v>24</v>
      </c>
      <c r="D101" s="8" t="s">
        <v>43</v>
      </c>
      <c r="E101" s="8" t="s">
        <v>17</v>
      </c>
      <c r="F101" s="8" t="s">
        <v>8</v>
      </c>
      <c r="G101" s="8">
        <v>7</v>
      </c>
      <c r="H101" s="13">
        <v>1121.51</v>
      </c>
      <c r="I101" s="13">
        <v>7850.57</v>
      </c>
      <c r="J101" s="8" t="s">
        <v>47</v>
      </c>
    </row>
    <row r="102" spans="1:10" x14ac:dyDescent="0.45">
      <c r="A102" s="8">
        <v>1106</v>
      </c>
      <c r="B102" s="12">
        <v>46206</v>
      </c>
      <c r="C102" s="8" t="s">
        <v>27</v>
      </c>
      <c r="D102" s="8" t="s">
        <v>38</v>
      </c>
      <c r="E102" s="8" t="s">
        <v>46</v>
      </c>
      <c r="F102" s="8" t="s">
        <v>9</v>
      </c>
      <c r="G102" s="8">
        <v>7</v>
      </c>
      <c r="H102" s="13">
        <v>182.91</v>
      </c>
      <c r="I102" s="13">
        <v>1280.3699999999999</v>
      </c>
      <c r="J102" s="8" t="s">
        <v>42</v>
      </c>
    </row>
    <row r="103" spans="1:10" x14ac:dyDescent="0.45">
      <c r="A103" s="8">
        <v>1138</v>
      </c>
      <c r="B103" s="12">
        <v>46206</v>
      </c>
      <c r="C103" s="8" t="s">
        <v>25</v>
      </c>
      <c r="D103" s="8" t="s">
        <v>52</v>
      </c>
      <c r="E103" s="8" t="s">
        <v>53</v>
      </c>
      <c r="F103" s="8" t="s">
        <v>8</v>
      </c>
      <c r="G103" s="8">
        <v>10</v>
      </c>
      <c r="H103" s="13">
        <v>43.88</v>
      </c>
      <c r="I103" s="13">
        <v>438.8</v>
      </c>
      <c r="J103" s="8" t="s">
        <v>47</v>
      </c>
    </row>
    <row r="104" spans="1:10" x14ac:dyDescent="0.45">
      <c r="A104" s="8">
        <v>1143</v>
      </c>
      <c r="B104" s="12">
        <v>46206</v>
      </c>
      <c r="C104" s="8" t="s">
        <v>28</v>
      </c>
      <c r="D104" s="8" t="s">
        <v>51</v>
      </c>
      <c r="E104" s="8" t="s">
        <v>20</v>
      </c>
      <c r="F104" s="8" t="s">
        <v>12</v>
      </c>
      <c r="G104" s="8">
        <v>9</v>
      </c>
      <c r="H104" s="13">
        <v>247.95</v>
      </c>
      <c r="I104" s="13">
        <v>2231.5500000000002</v>
      </c>
      <c r="J104" s="8" t="s">
        <v>39</v>
      </c>
    </row>
    <row r="105" spans="1:10" x14ac:dyDescent="0.45">
      <c r="A105" s="8">
        <v>1162</v>
      </c>
      <c r="B105" s="12">
        <v>46206</v>
      </c>
      <c r="C105" s="8" t="s">
        <v>25</v>
      </c>
      <c r="D105" s="8" t="s">
        <v>51</v>
      </c>
      <c r="E105" s="8" t="s">
        <v>48</v>
      </c>
      <c r="F105" s="8" t="s">
        <v>10</v>
      </c>
      <c r="G105" s="8">
        <v>9</v>
      </c>
      <c r="H105" s="13">
        <v>90.59</v>
      </c>
      <c r="I105" s="13">
        <v>815.31</v>
      </c>
      <c r="J105" s="8" t="s">
        <v>42</v>
      </c>
    </row>
    <row r="106" spans="1:10" x14ac:dyDescent="0.45">
      <c r="A106" s="8">
        <v>1179</v>
      </c>
      <c r="B106" s="12">
        <v>46206</v>
      </c>
      <c r="C106" s="8" t="s">
        <v>25</v>
      </c>
      <c r="D106" s="8" t="s">
        <v>44</v>
      </c>
      <c r="E106" s="8" t="s">
        <v>53</v>
      </c>
      <c r="F106" s="8" t="s">
        <v>8</v>
      </c>
      <c r="G106" s="8">
        <v>2</v>
      </c>
      <c r="H106" s="13">
        <v>44.86</v>
      </c>
      <c r="I106" s="13">
        <v>89.72</v>
      </c>
      <c r="J106" s="8" t="s">
        <v>47</v>
      </c>
    </row>
    <row r="107" spans="1:10" x14ac:dyDescent="0.45">
      <c r="A107" s="8">
        <v>1101</v>
      </c>
      <c r="B107" s="12">
        <v>46207</v>
      </c>
      <c r="C107" s="8" t="s">
        <v>27</v>
      </c>
      <c r="D107" s="8" t="s">
        <v>44</v>
      </c>
      <c r="E107" s="8" t="s">
        <v>18</v>
      </c>
      <c r="F107" s="8" t="s">
        <v>11</v>
      </c>
      <c r="G107" s="8">
        <v>3</v>
      </c>
      <c r="H107" s="13">
        <v>977.41</v>
      </c>
      <c r="I107" s="13">
        <v>2932.23</v>
      </c>
      <c r="J107" s="8" t="s">
        <v>39</v>
      </c>
    </row>
    <row r="108" spans="1:10" x14ac:dyDescent="0.45">
      <c r="A108" s="8">
        <v>1105</v>
      </c>
      <c r="B108" s="12">
        <v>46207</v>
      </c>
      <c r="C108" s="8" t="s">
        <v>27</v>
      </c>
      <c r="D108" s="8" t="s">
        <v>43</v>
      </c>
      <c r="E108" s="8" t="s">
        <v>17</v>
      </c>
      <c r="F108" s="8" t="s">
        <v>8</v>
      </c>
      <c r="G108" s="8">
        <v>11</v>
      </c>
      <c r="H108" s="13">
        <v>1161.55</v>
      </c>
      <c r="I108" s="13">
        <v>12777.05</v>
      </c>
      <c r="J108" s="8" t="s">
        <v>39</v>
      </c>
    </row>
    <row r="109" spans="1:10" x14ac:dyDescent="0.45">
      <c r="A109" s="8">
        <v>1129</v>
      </c>
      <c r="B109" s="12">
        <v>46207</v>
      </c>
      <c r="C109" s="8" t="s">
        <v>25</v>
      </c>
      <c r="D109" s="8" t="s">
        <v>44</v>
      </c>
      <c r="E109" s="8" t="s">
        <v>16</v>
      </c>
      <c r="F109" s="8" t="s">
        <v>9</v>
      </c>
      <c r="G109" s="8">
        <v>10</v>
      </c>
      <c r="H109" s="13">
        <v>1516.72</v>
      </c>
      <c r="I109" s="13">
        <v>15167.2</v>
      </c>
      <c r="J109" s="8" t="s">
        <v>39</v>
      </c>
    </row>
    <row r="110" spans="1:10" x14ac:dyDescent="0.45">
      <c r="A110" s="8">
        <v>1096</v>
      </c>
      <c r="B110" s="12">
        <v>46208</v>
      </c>
      <c r="C110" s="8" t="s">
        <v>24</v>
      </c>
      <c r="D110" s="8" t="s">
        <v>54</v>
      </c>
      <c r="E110" s="8" t="s">
        <v>16</v>
      </c>
      <c r="F110" s="8" t="s">
        <v>9</v>
      </c>
      <c r="G110" s="8">
        <v>2</v>
      </c>
      <c r="H110" s="13">
        <v>1470.7</v>
      </c>
      <c r="I110" s="13">
        <v>2941.4</v>
      </c>
      <c r="J110" s="8" t="s">
        <v>42</v>
      </c>
    </row>
    <row r="111" spans="1:10" x14ac:dyDescent="0.45">
      <c r="A111" s="8">
        <v>1134</v>
      </c>
      <c r="B111" s="12">
        <v>46208</v>
      </c>
      <c r="C111" s="8" t="s">
        <v>28</v>
      </c>
      <c r="D111" s="8" t="s">
        <v>54</v>
      </c>
      <c r="E111" s="8" t="s">
        <v>19</v>
      </c>
      <c r="F111" s="8" t="s">
        <v>9</v>
      </c>
      <c r="G111" s="8">
        <v>9</v>
      </c>
      <c r="H111" s="13">
        <v>311.19</v>
      </c>
      <c r="I111" s="13">
        <v>2800.71</v>
      </c>
      <c r="J111" s="8" t="s">
        <v>42</v>
      </c>
    </row>
    <row r="112" spans="1:10" x14ac:dyDescent="0.45">
      <c r="A112" s="8">
        <v>1167</v>
      </c>
      <c r="B112" s="12">
        <v>46208</v>
      </c>
      <c r="C112" s="8" t="s">
        <v>25</v>
      </c>
      <c r="D112" s="8" t="s">
        <v>49</v>
      </c>
      <c r="E112" s="8" t="s">
        <v>18</v>
      </c>
      <c r="F112" s="8" t="s">
        <v>11</v>
      </c>
      <c r="G112" s="8">
        <v>8</v>
      </c>
      <c r="H112" s="13">
        <v>1020.46</v>
      </c>
      <c r="I112" s="13">
        <v>8163.68</v>
      </c>
      <c r="J112" s="8" t="s">
        <v>47</v>
      </c>
    </row>
    <row r="113" spans="1:10" x14ac:dyDescent="0.45">
      <c r="A113" s="8">
        <v>1176</v>
      </c>
      <c r="B113" s="12">
        <v>46208</v>
      </c>
      <c r="C113" s="8" t="s">
        <v>26</v>
      </c>
      <c r="D113" s="8" t="s">
        <v>51</v>
      </c>
      <c r="E113" s="8" t="s">
        <v>16</v>
      </c>
      <c r="F113" s="8" t="s">
        <v>9</v>
      </c>
      <c r="G113" s="8">
        <v>10</v>
      </c>
      <c r="H113" s="13">
        <v>1430.4</v>
      </c>
      <c r="I113" s="13">
        <v>14304</v>
      </c>
      <c r="J113" s="8" t="s">
        <v>39</v>
      </c>
    </row>
    <row r="114" spans="1:10" x14ac:dyDescent="0.45">
      <c r="A114" s="8">
        <v>1100</v>
      </c>
      <c r="B114" s="12">
        <v>46210</v>
      </c>
      <c r="C114" s="8" t="s">
        <v>26</v>
      </c>
      <c r="D114" s="8" t="s">
        <v>52</v>
      </c>
      <c r="E114" s="8" t="s">
        <v>16</v>
      </c>
      <c r="F114" s="8" t="s">
        <v>9</v>
      </c>
      <c r="G114" s="8">
        <v>1</v>
      </c>
      <c r="H114" s="13">
        <v>1515.19</v>
      </c>
      <c r="I114" s="13">
        <v>1515.19</v>
      </c>
      <c r="J114" s="8" t="s">
        <v>42</v>
      </c>
    </row>
    <row r="115" spans="1:10" x14ac:dyDescent="0.45">
      <c r="A115" s="8">
        <v>1151</v>
      </c>
      <c r="B115" s="12">
        <v>46210</v>
      </c>
      <c r="C115" s="8" t="s">
        <v>27</v>
      </c>
      <c r="D115" s="8" t="s">
        <v>55</v>
      </c>
      <c r="E115" s="8" t="s">
        <v>48</v>
      </c>
      <c r="F115" s="8" t="s">
        <v>10</v>
      </c>
      <c r="G115" s="8">
        <v>9</v>
      </c>
      <c r="H115" s="13">
        <v>91.62</v>
      </c>
      <c r="I115" s="13">
        <v>824.58</v>
      </c>
      <c r="J115" s="8" t="s">
        <v>47</v>
      </c>
    </row>
    <row r="116" spans="1:10" x14ac:dyDescent="0.45">
      <c r="A116" s="8">
        <v>1114</v>
      </c>
      <c r="B116" s="12">
        <v>46211</v>
      </c>
      <c r="C116" s="8" t="s">
        <v>24</v>
      </c>
      <c r="D116" s="8" t="s">
        <v>49</v>
      </c>
      <c r="E116" s="8" t="s">
        <v>20</v>
      </c>
      <c r="F116" s="8" t="s">
        <v>12</v>
      </c>
      <c r="G116" s="8">
        <v>8</v>
      </c>
      <c r="H116" s="13">
        <v>261.43</v>
      </c>
      <c r="I116" s="13">
        <v>2091.44</v>
      </c>
      <c r="J116" s="8" t="s">
        <v>39</v>
      </c>
    </row>
    <row r="117" spans="1:10" x14ac:dyDescent="0.45">
      <c r="A117" s="8">
        <v>1126</v>
      </c>
      <c r="B117" s="12">
        <v>46211</v>
      </c>
      <c r="C117" s="8" t="s">
        <v>26</v>
      </c>
      <c r="D117" s="8" t="s">
        <v>55</v>
      </c>
      <c r="E117" s="8" t="s">
        <v>50</v>
      </c>
      <c r="F117" s="8" t="s">
        <v>9</v>
      </c>
      <c r="G117" s="8">
        <v>5</v>
      </c>
      <c r="H117" s="13">
        <v>62.3</v>
      </c>
      <c r="I117" s="13">
        <v>311.5</v>
      </c>
      <c r="J117" s="8" t="s">
        <v>39</v>
      </c>
    </row>
    <row r="118" spans="1:10" x14ac:dyDescent="0.45">
      <c r="A118" s="8">
        <v>1127</v>
      </c>
      <c r="B118" s="12">
        <v>46211</v>
      </c>
      <c r="C118" s="8" t="s">
        <v>27</v>
      </c>
      <c r="D118" s="8" t="s">
        <v>40</v>
      </c>
      <c r="E118" s="8" t="s">
        <v>50</v>
      </c>
      <c r="F118" s="8" t="s">
        <v>9</v>
      </c>
      <c r="G118" s="8">
        <v>10</v>
      </c>
      <c r="H118" s="13">
        <v>66.89</v>
      </c>
      <c r="I118" s="13">
        <v>668.9</v>
      </c>
      <c r="J118" s="8" t="s">
        <v>39</v>
      </c>
    </row>
    <row r="119" spans="1:10" x14ac:dyDescent="0.45">
      <c r="A119" s="8">
        <v>1174</v>
      </c>
      <c r="B119" s="12">
        <v>46211</v>
      </c>
      <c r="C119" s="8" t="s">
        <v>25</v>
      </c>
      <c r="D119" s="8" t="s">
        <v>52</v>
      </c>
      <c r="E119" s="8" t="s">
        <v>18</v>
      </c>
      <c r="F119" s="8" t="s">
        <v>11</v>
      </c>
      <c r="G119" s="8">
        <v>10</v>
      </c>
      <c r="H119" s="13">
        <v>1009.59</v>
      </c>
      <c r="I119" s="13">
        <v>10095.9</v>
      </c>
      <c r="J119" s="8" t="s">
        <v>39</v>
      </c>
    </row>
    <row r="120" spans="1:10" x14ac:dyDescent="0.45">
      <c r="A120" s="8">
        <v>1112</v>
      </c>
      <c r="B120" s="12">
        <v>46212</v>
      </c>
      <c r="C120" s="8" t="s">
        <v>28</v>
      </c>
      <c r="D120" s="8" t="s">
        <v>51</v>
      </c>
      <c r="E120" s="8" t="s">
        <v>48</v>
      </c>
      <c r="F120" s="8" t="s">
        <v>10</v>
      </c>
      <c r="G120" s="8">
        <v>4</v>
      </c>
      <c r="H120" s="13">
        <v>93.62</v>
      </c>
      <c r="I120" s="13">
        <v>374.48</v>
      </c>
      <c r="J120" s="8" t="s">
        <v>47</v>
      </c>
    </row>
    <row r="121" spans="1:10" x14ac:dyDescent="0.45">
      <c r="A121" s="8">
        <v>1140</v>
      </c>
      <c r="B121" s="12">
        <v>46212</v>
      </c>
      <c r="C121" s="8" t="s">
        <v>25</v>
      </c>
      <c r="D121" s="8" t="s">
        <v>52</v>
      </c>
      <c r="E121" s="8" t="s">
        <v>46</v>
      </c>
      <c r="F121" s="8" t="s">
        <v>9</v>
      </c>
      <c r="G121" s="8">
        <v>11</v>
      </c>
      <c r="H121" s="13">
        <v>178.96</v>
      </c>
      <c r="I121" s="13">
        <v>1968.56</v>
      </c>
      <c r="J121" s="8" t="s">
        <v>39</v>
      </c>
    </row>
    <row r="122" spans="1:10" x14ac:dyDescent="0.45">
      <c r="A122" s="8">
        <v>1160</v>
      </c>
      <c r="B122" s="12">
        <v>46212</v>
      </c>
      <c r="C122" s="8" t="s">
        <v>28</v>
      </c>
      <c r="D122" s="8" t="s">
        <v>52</v>
      </c>
      <c r="E122" s="8" t="s">
        <v>45</v>
      </c>
      <c r="F122" s="8" t="s">
        <v>10</v>
      </c>
      <c r="G122" s="8">
        <v>2</v>
      </c>
      <c r="H122" s="13">
        <v>209.36</v>
      </c>
      <c r="I122" s="13">
        <v>418.72</v>
      </c>
      <c r="J122" s="8" t="s">
        <v>47</v>
      </c>
    </row>
    <row r="123" spans="1:10" x14ac:dyDescent="0.45">
      <c r="A123" s="8">
        <v>1178</v>
      </c>
      <c r="B123" s="12">
        <v>46212</v>
      </c>
      <c r="C123" s="8" t="s">
        <v>24</v>
      </c>
      <c r="D123" s="8" t="s">
        <v>51</v>
      </c>
      <c r="E123" s="8" t="s">
        <v>46</v>
      </c>
      <c r="F123" s="8" t="s">
        <v>9</v>
      </c>
      <c r="G123" s="8">
        <v>5</v>
      </c>
      <c r="H123" s="13">
        <v>185.95</v>
      </c>
      <c r="I123" s="13">
        <v>929.75</v>
      </c>
      <c r="J123" s="8" t="s">
        <v>47</v>
      </c>
    </row>
    <row r="124" spans="1:10" x14ac:dyDescent="0.45">
      <c r="A124" s="8">
        <v>1103</v>
      </c>
      <c r="B124" s="12">
        <v>46213</v>
      </c>
      <c r="C124" s="8" t="s">
        <v>27</v>
      </c>
      <c r="D124" s="8" t="s">
        <v>40</v>
      </c>
      <c r="E124" s="8" t="s">
        <v>19</v>
      </c>
      <c r="F124" s="8" t="s">
        <v>9</v>
      </c>
      <c r="G124" s="8">
        <v>10</v>
      </c>
      <c r="H124" s="13">
        <v>304.82</v>
      </c>
      <c r="I124" s="13">
        <v>3048.2</v>
      </c>
      <c r="J124" s="8" t="s">
        <v>39</v>
      </c>
    </row>
    <row r="125" spans="1:10" x14ac:dyDescent="0.45">
      <c r="A125" s="8">
        <v>1153</v>
      </c>
      <c r="B125" s="12">
        <v>46213</v>
      </c>
      <c r="C125" s="8" t="s">
        <v>27</v>
      </c>
      <c r="D125" s="8" t="s">
        <v>52</v>
      </c>
      <c r="E125" s="8" t="s">
        <v>17</v>
      </c>
      <c r="F125" s="8" t="s">
        <v>8</v>
      </c>
      <c r="G125" s="8">
        <v>1</v>
      </c>
      <c r="H125" s="13">
        <v>1125.03</v>
      </c>
      <c r="I125" s="13">
        <v>1125.03</v>
      </c>
      <c r="J125" s="8" t="s">
        <v>47</v>
      </c>
    </row>
    <row r="126" spans="1:10" x14ac:dyDescent="0.45">
      <c r="A126" s="8">
        <v>1118</v>
      </c>
      <c r="B126" s="12">
        <v>46214</v>
      </c>
      <c r="C126" s="8" t="s">
        <v>26</v>
      </c>
      <c r="D126" s="8" t="s">
        <v>55</v>
      </c>
      <c r="E126" s="8" t="s">
        <v>18</v>
      </c>
      <c r="F126" s="8" t="s">
        <v>11</v>
      </c>
      <c r="G126" s="8">
        <v>2</v>
      </c>
      <c r="H126" s="13">
        <v>1001.69</v>
      </c>
      <c r="I126" s="13">
        <v>2003.38</v>
      </c>
      <c r="J126" s="8" t="s">
        <v>47</v>
      </c>
    </row>
    <row r="127" spans="1:10" x14ac:dyDescent="0.45">
      <c r="A127" s="8">
        <v>1155</v>
      </c>
      <c r="B127" s="12">
        <v>46214</v>
      </c>
      <c r="C127" s="8" t="s">
        <v>25</v>
      </c>
      <c r="D127" s="8" t="s">
        <v>44</v>
      </c>
      <c r="E127" s="8" t="s">
        <v>46</v>
      </c>
      <c r="F127" s="8" t="s">
        <v>9</v>
      </c>
      <c r="G127" s="8">
        <v>7</v>
      </c>
      <c r="H127" s="13">
        <v>179.2</v>
      </c>
      <c r="I127" s="13">
        <v>1254.4000000000001</v>
      </c>
      <c r="J127" s="8" t="s">
        <v>47</v>
      </c>
    </row>
    <row r="128" spans="1:10" x14ac:dyDescent="0.45">
      <c r="A128" s="8">
        <v>1161</v>
      </c>
      <c r="B128" s="12">
        <v>46214</v>
      </c>
      <c r="C128" s="8" t="s">
        <v>27</v>
      </c>
      <c r="D128" s="8" t="s">
        <v>40</v>
      </c>
      <c r="E128" s="8" t="s">
        <v>20</v>
      </c>
      <c r="F128" s="8" t="s">
        <v>12</v>
      </c>
      <c r="G128" s="8">
        <v>11</v>
      </c>
      <c r="H128" s="13">
        <v>249.09</v>
      </c>
      <c r="I128" s="13">
        <v>2739.99</v>
      </c>
      <c r="J128" s="8" t="s">
        <v>39</v>
      </c>
    </row>
    <row r="129" spans="1:10" x14ac:dyDescent="0.45">
      <c r="A129" s="8">
        <v>1099</v>
      </c>
      <c r="B129" s="12">
        <v>46215</v>
      </c>
      <c r="C129" s="8" t="s">
        <v>25</v>
      </c>
      <c r="D129" s="8" t="s">
        <v>41</v>
      </c>
      <c r="E129" s="8" t="s">
        <v>46</v>
      </c>
      <c r="F129" s="8" t="s">
        <v>9</v>
      </c>
      <c r="G129" s="8">
        <v>1</v>
      </c>
      <c r="H129" s="13">
        <v>189</v>
      </c>
      <c r="I129" s="13">
        <v>189</v>
      </c>
      <c r="J129" s="8" t="s">
        <v>47</v>
      </c>
    </row>
    <row r="130" spans="1:10" x14ac:dyDescent="0.45">
      <c r="A130" s="8">
        <v>1145</v>
      </c>
      <c r="B130" s="12">
        <v>46215</v>
      </c>
      <c r="C130" s="8" t="s">
        <v>27</v>
      </c>
      <c r="D130" s="8" t="s">
        <v>49</v>
      </c>
      <c r="E130" s="8" t="s">
        <v>20</v>
      </c>
      <c r="F130" s="8" t="s">
        <v>12</v>
      </c>
      <c r="G130" s="8">
        <v>1</v>
      </c>
      <c r="H130" s="13">
        <v>251.88</v>
      </c>
      <c r="I130" s="13">
        <v>251.88</v>
      </c>
      <c r="J130" s="8" t="s">
        <v>47</v>
      </c>
    </row>
    <row r="131" spans="1:10" x14ac:dyDescent="0.45">
      <c r="A131" s="8">
        <v>1115</v>
      </c>
      <c r="B131" s="12">
        <v>46216</v>
      </c>
      <c r="C131" s="8" t="s">
        <v>25</v>
      </c>
      <c r="D131" s="8" t="s">
        <v>51</v>
      </c>
      <c r="E131" s="8" t="s">
        <v>16</v>
      </c>
      <c r="F131" s="8" t="s">
        <v>9</v>
      </c>
      <c r="G131" s="8">
        <v>2</v>
      </c>
      <c r="H131" s="13">
        <v>1420.16</v>
      </c>
      <c r="I131" s="13">
        <v>2840.32</v>
      </c>
      <c r="J131" s="8" t="s">
        <v>47</v>
      </c>
    </row>
    <row r="132" spans="1:10" x14ac:dyDescent="0.45">
      <c r="A132" s="8">
        <v>1157</v>
      </c>
      <c r="B132" s="12">
        <v>46216</v>
      </c>
      <c r="C132" s="8" t="s">
        <v>24</v>
      </c>
      <c r="D132" s="8" t="s">
        <v>54</v>
      </c>
      <c r="E132" s="8" t="s">
        <v>48</v>
      </c>
      <c r="F132" s="8" t="s">
        <v>10</v>
      </c>
      <c r="G132" s="8">
        <v>12</v>
      </c>
      <c r="H132" s="13">
        <v>98.93</v>
      </c>
      <c r="I132" s="13">
        <v>1187.1600000000001</v>
      </c>
      <c r="J132" s="8" t="s">
        <v>39</v>
      </c>
    </row>
    <row r="133" spans="1:10" x14ac:dyDescent="0.45">
      <c r="A133" s="8">
        <v>1128</v>
      </c>
      <c r="B133" s="12">
        <v>46217</v>
      </c>
      <c r="C133" s="8" t="s">
        <v>28</v>
      </c>
      <c r="D133" s="8" t="s">
        <v>52</v>
      </c>
      <c r="E133" s="8" t="s">
        <v>48</v>
      </c>
      <c r="F133" s="8" t="s">
        <v>10</v>
      </c>
      <c r="G133" s="8">
        <v>5</v>
      </c>
      <c r="H133" s="13">
        <v>98.42</v>
      </c>
      <c r="I133" s="13">
        <v>492.1</v>
      </c>
      <c r="J133" s="8" t="s">
        <v>47</v>
      </c>
    </row>
    <row r="134" spans="1:10" x14ac:dyDescent="0.45">
      <c r="A134" s="8">
        <v>1141</v>
      </c>
      <c r="B134" s="12">
        <v>46217</v>
      </c>
      <c r="C134" s="8" t="s">
        <v>28</v>
      </c>
      <c r="D134" s="8" t="s">
        <v>38</v>
      </c>
      <c r="E134" s="8" t="s">
        <v>48</v>
      </c>
      <c r="F134" s="8" t="s">
        <v>10</v>
      </c>
      <c r="G134" s="8">
        <v>2</v>
      </c>
      <c r="H134" s="13">
        <v>94.72</v>
      </c>
      <c r="I134" s="13">
        <v>189.44</v>
      </c>
      <c r="J134" s="8" t="s">
        <v>47</v>
      </c>
    </row>
    <row r="135" spans="1:10" x14ac:dyDescent="0.45">
      <c r="A135" s="8">
        <v>1150</v>
      </c>
      <c r="B135" s="12">
        <v>46217</v>
      </c>
      <c r="C135" s="8" t="s">
        <v>24</v>
      </c>
      <c r="D135" s="8" t="s">
        <v>49</v>
      </c>
      <c r="E135" s="8" t="s">
        <v>17</v>
      </c>
      <c r="F135" s="8" t="s">
        <v>8</v>
      </c>
      <c r="G135" s="8">
        <v>9</v>
      </c>
      <c r="H135" s="13">
        <v>1173.6199999999999</v>
      </c>
      <c r="I135" s="13">
        <v>10562.58</v>
      </c>
      <c r="J135" s="8" t="s">
        <v>42</v>
      </c>
    </row>
    <row r="136" spans="1:10" x14ac:dyDescent="0.45">
      <c r="A136" s="8">
        <v>1156</v>
      </c>
      <c r="B136" s="12">
        <v>46217</v>
      </c>
      <c r="C136" s="8" t="s">
        <v>26</v>
      </c>
      <c r="D136" s="8" t="s">
        <v>38</v>
      </c>
      <c r="E136" s="8" t="s">
        <v>20</v>
      </c>
      <c r="F136" s="8" t="s">
        <v>12</v>
      </c>
      <c r="G136" s="8">
        <v>4</v>
      </c>
      <c r="H136" s="13">
        <v>269.26</v>
      </c>
      <c r="I136" s="13">
        <v>1077.04</v>
      </c>
      <c r="J136" s="8" t="s">
        <v>47</v>
      </c>
    </row>
    <row r="137" spans="1:10" x14ac:dyDescent="0.45">
      <c r="A137" s="8">
        <v>1097</v>
      </c>
      <c r="B137" s="12">
        <v>46218</v>
      </c>
      <c r="C137" s="8" t="s">
        <v>28</v>
      </c>
      <c r="D137" s="8" t="s">
        <v>38</v>
      </c>
      <c r="E137" s="8" t="s">
        <v>17</v>
      </c>
      <c r="F137" s="8" t="s">
        <v>8</v>
      </c>
      <c r="G137" s="8">
        <v>7</v>
      </c>
      <c r="H137" s="13">
        <v>1130.1500000000001</v>
      </c>
      <c r="I137" s="13">
        <v>7911.05</v>
      </c>
      <c r="J137" s="8" t="s">
        <v>39</v>
      </c>
    </row>
    <row r="138" spans="1:10" x14ac:dyDescent="0.45">
      <c r="A138" s="8">
        <v>1110</v>
      </c>
      <c r="B138" s="12">
        <v>46218</v>
      </c>
      <c r="C138" s="8" t="s">
        <v>25</v>
      </c>
      <c r="D138" s="8" t="s">
        <v>49</v>
      </c>
      <c r="E138" s="8" t="s">
        <v>18</v>
      </c>
      <c r="F138" s="8" t="s">
        <v>11</v>
      </c>
      <c r="G138" s="8">
        <v>2</v>
      </c>
      <c r="H138" s="13">
        <v>958.33</v>
      </c>
      <c r="I138" s="13">
        <v>1916.66</v>
      </c>
      <c r="J138" s="8" t="s">
        <v>47</v>
      </c>
    </row>
    <row r="139" spans="1:10" x14ac:dyDescent="0.45">
      <c r="A139" s="8">
        <v>1117</v>
      </c>
      <c r="B139" s="12">
        <v>46218</v>
      </c>
      <c r="C139" s="8" t="s">
        <v>28</v>
      </c>
      <c r="D139" s="8" t="s">
        <v>51</v>
      </c>
      <c r="E139" s="8" t="s">
        <v>46</v>
      </c>
      <c r="F139" s="8" t="s">
        <v>9</v>
      </c>
      <c r="G139" s="8">
        <v>6</v>
      </c>
      <c r="H139" s="13">
        <v>177.33</v>
      </c>
      <c r="I139" s="13">
        <v>1063.98</v>
      </c>
      <c r="J139" s="8" t="s">
        <v>39</v>
      </c>
    </row>
    <row r="140" spans="1:10" x14ac:dyDescent="0.45">
      <c r="A140" s="8">
        <v>1119</v>
      </c>
      <c r="B140" s="12">
        <v>46219</v>
      </c>
      <c r="C140" s="8" t="s">
        <v>28</v>
      </c>
      <c r="D140" s="8" t="s">
        <v>52</v>
      </c>
      <c r="E140" s="8" t="s">
        <v>45</v>
      </c>
      <c r="F140" s="8" t="s">
        <v>10</v>
      </c>
      <c r="G140" s="8">
        <v>4</v>
      </c>
      <c r="H140" s="13">
        <v>204.04</v>
      </c>
      <c r="I140" s="13">
        <v>816.16</v>
      </c>
      <c r="J140" s="8" t="s">
        <v>47</v>
      </c>
    </row>
    <row r="141" spans="1:10" x14ac:dyDescent="0.45">
      <c r="A141" s="8">
        <v>1123</v>
      </c>
      <c r="B141" s="12">
        <v>46219</v>
      </c>
      <c r="C141" s="8" t="s">
        <v>24</v>
      </c>
      <c r="D141" s="8" t="s">
        <v>38</v>
      </c>
      <c r="E141" s="8" t="s">
        <v>16</v>
      </c>
      <c r="F141" s="8" t="s">
        <v>9</v>
      </c>
      <c r="G141" s="8">
        <v>10</v>
      </c>
      <c r="H141" s="13">
        <v>1418.73</v>
      </c>
      <c r="I141" s="13">
        <v>14187.3</v>
      </c>
      <c r="J141" s="8" t="s">
        <v>42</v>
      </c>
    </row>
    <row r="142" spans="1:10" x14ac:dyDescent="0.45">
      <c r="A142" s="8">
        <v>1124</v>
      </c>
      <c r="B142" s="12">
        <v>46219</v>
      </c>
      <c r="C142" s="8" t="s">
        <v>26</v>
      </c>
      <c r="D142" s="8" t="s">
        <v>41</v>
      </c>
      <c r="E142" s="8" t="s">
        <v>16</v>
      </c>
      <c r="F142" s="8" t="s">
        <v>9</v>
      </c>
      <c r="G142" s="8">
        <v>5</v>
      </c>
      <c r="H142" s="13">
        <v>1513.95</v>
      </c>
      <c r="I142" s="13">
        <v>7569.75</v>
      </c>
      <c r="J142" s="8" t="s">
        <v>39</v>
      </c>
    </row>
    <row r="143" spans="1:10" x14ac:dyDescent="0.45">
      <c r="A143" s="8">
        <v>1131</v>
      </c>
      <c r="B143" s="12">
        <v>46219</v>
      </c>
      <c r="C143" s="8" t="s">
        <v>28</v>
      </c>
      <c r="D143" s="8" t="s">
        <v>43</v>
      </c>
      <c r="E143" s="8" t="s">
        <v>20</v>
      </c>
      <c r="F143" s="8" t="s">
        <v>12</v>
      </c>
      <c r="G143" s="8">
        <v>8</v>
      </c>
      <c r="H143" s="13">
        <v>264.92</v>
      </c>
      <c r="I143" s="13">
        <v>2119.36</v>
      </c>
      <c r="J143" s="8" t="s">
        <v>42</v>
      </c>
    </row>
    <row r="144" spans="1:10" x14ac:dyDescent="0.45">
      <c r="A144" s="8">
        <v>1154</v>
      </c>
      <c r="B144" s="12">
        <v>46219</v>
      </c>
      <c r="C144" s="8" t="s">
        <v>28</v>
      </c>
      <c r="D144" s="8" t="s">
        <v>38</v>
      </c>
      <c r="E144" s="8" t="s">
        <v>48</v>
      </c>
      <c r="F144" s="8" t="s">
        <v>10</v>
      </c>
      <c r="G144" s="8">
        <v>3</v>
      </c>
      <c r="H144" s="13">
        <v>94.49</v>
      </c>
      <c r="I144" s="13">
        <v>283.47000000000003</v>
      </c>
      <c r="J144" s="8" t="s">
        <v>47</v>
      </c>
    </row>
    <row r="145" spans="1:10" x14ac:dyDescent="0.45">
      <c r="A145" s="8">
        <v>1182</v>
      </c>
      <c r="B145" s="12">
        <v>46219</v>
      </c>
      <c r="C145" s="8" t="s">
        <v>26</v>
      </c>
      <c r="D145" s="8" t="s">
        <v>52</v>
      </c>
      <c r="E145" s="8" t="s">
        <v>53</v>
      </c>
      <c r="F145" s="8" t="s">
        <v>8</v>
      </c>
      <c r="G145" s="8">
        <v>2</v>
      </c>
      <c r="H145" s="13">
        <v>45.79</v>
      </c>
      <c r="I145" s="13">
        <v>91.58</v>
      </c>
      <c r="J145" s="8" t="s">
        <v>47</v>
      </c>
    </row>
    <row r="146" spans="1:10" x14ac:dyDescent="0.45">
      <c r="A146" s="8">
        <v>1108</v>
      </c>
      <c r="B146" s="12">
        <v>46220</v>
      </c>
      <c r="C146" s="8" t="s">
        <v>28</v>
      </c>
      <c r="D146" s="8" t="s">
        <v>52</v>
      </c>
      <c r="E146" s="8" t="s">
        <v>45</v>
      </c>
      <c r="F146" s="8" t="s">
        <v>10</v>
      </c>
      <c r="G146" s="8">
        <v>7</v>
      </c>
      <c r="H146" s="13">
        <v>203.2</v>
      </c>
      <c r="I146" s="13">
        <v>1422.4</v>
      </c>
      <c r="J146" s="8" t="s">
        <v>47</v>
      </c>
    </row>
    <row r="147" spans="1:10" x14ac:dyDescent="0.45">
      <c r="A147" s="8">
        <v>1116</v>
      </c>
      <c r="B147" s="12">
        <v>46220</v>
      </c>
      <c r="C147" s="8" t="s">
        <v>28</v>
      </c>
      <c r="D147" s="8" t="s">
        <v>40</v>
      </c>
      <c r="E147" s="8" t="s">
        <v>50</v>
      </c>
      <c r="F147" s="8" t="s">
        <v>9</v>
      </c>
      <c r="G147" s="8">
        <v>6</v>
      </c>
      <c r="H147" s="13">
        <v>64.83</v>
      </c>
      <c r="I147" s="13">
        <v>388.98</v>
      </c>
      <c r="J147" s="8" t="s">
        <v>47</v>
      </c>
    </row>
    <row r="148" spans="1:10" x14ac:dyDescent="0.45">
      <c r="A148" s="8">
        <v>1165</v>
      </c>
      <c r="B148" s="12">
        <v>46220</v>
      </c>
      <c r="C148" s="8" t="s">
        <v>24</v>
      </c>
      <c r="D148" s="8" t="s">
        <v>52</v>
      </c>
      <c r="E148" s="8" t="s">
        <v>53</v>
      </c>
      <c r="F148" s="8" t="s">
        <v>8</v>
      </c>
      <c r="G148" s="8">
        <v>7</v>
      </c>
      <c r="H148" s="13">
        <v>43.41</v>
      </c>
      <c r="I148" s="13">
        <v>303.87</v>
      </c>
      <c r="J148" s="8" t="s">
        <v>47</v>
      </c>
    </row>
    <row r="149" spans="1:10" x14ac:dyDescent="0.45">
      <c r="A149" s="8">
        <v>1130</v>
      </c>
      <c r="B149" s="12">
        <v>46221</v>
      </c>
      <c r="C149" s="8" t="s">
        <v>26</v>
      </c>
      <c r="D149" s="8" t="s">
        <v>54</v>
      </c>
      <c r="E149" s="8" t="s">
        <v>19</v>
      </c>
      <c r="F149" s="8" t="s">
        <v>9</v>
      </c>
      <c r="G149" s="8">
        <v>3</v>
      </c>
      <c r="H149" s="13">
        <v>311.68</v>
      </c>
      <c r="I149" s="13">
        <v>935.04</v>
      </c>
      <c r="J149" s="8" t="s">
        <v>42</v>
      </c>
    </row>
    <row r="150" spans="1:10" x14ac:dyDescent="0.45">
      <c r="A150" s="8">
        <v>1146</v>
      </c>
      <c r="B150" s="12">
        <v>46221</v>
      </c>
      <c r="C150" s="8" t="s">
        <v>25</v>
      </c>
      <c r="D150" s="8" t="s">
        <v>51</v>
      </c>
      <c r="E150" s="8" t="s">
        <v>48</v>
      </c>
      <c r="F150" s="8" t="s">
        <v>10</v>
      </c>
      <c r="G150" s="8">
        <v>1</v>
      </c>
      <c r="H150" s="13">
        <v>92.18</v>
      </c>
      <c r="I150" s="13">
        <v>92.18</v>
      </c>
      <c r="J150" s="8" t="s">
        <v>39</v>
      </c>
    </row>
    <row r="151" spans="1:10" x14ac:dyDescent="0.45">
      <c r="A151" s="8">
        <v>1148</v>
      </c>
      <c r="B151" s="12">
        <v>46221</v>
      </c>
      <c r="C151" s="8" t="s">
        <v>24</v>
      </c>
      <c r="D151" s="8" t="s">
        <v>41</v>
      </c>
      <c r="E151" s="8" t="s">
        <v>45</v>
      </c>
      <c r="F151" s="8" t="s">
        <v>10</v>
      </c>
      <c r="G151" s="8">
        <v>5</v>
      </c>
      <c r="H151" s="13">
        <v>211.07</v>
      </c>
      <c r="I151" s="13">
        <v>1055.3499999999999</v>
      </c>
      <c r="J151" s="8" t="s">
        <v>42</v>
      </c>
    </row>
    <row r="152" spans="1:10" x14ac:dyDescent="0.45">
      <c r="A152" s="8">
        <v>1139</v>
      </c>
      <c r="B152" s="12">
        <v>46222</v>
      </c>
      <c r="C152" s="8" t="s">
        <v>26</v>
      </c>
      <c r="D152" s="8" t="s">
        <v>54</v>
      </c>
      <c r="E152" s="8" t="s">
        <v>16</v>
      </c>
      <c r="F152" s="8" t="s">
        <v>9</v>
      </c>
      <c r="G152" s="8">
        <v>11</v>
      </c>
      <c r="H152" s="13">
        <v>1496.61</v>
      </c>
      <c r="I152" s="13">
        <v>16462.71</v>
      </c>
      <c r="J152" s="8" t="s">
        <v>39</v>
      </c>
    </row>
    <row r="153" spans="1:10" x14ac:dyDescent="0.45">
      <c r="A153" s="8">
        <v>1158</v>
      </c>
      <c r="B153" s="12">
        <v>46222</v>
      </c>
      <c r="C153" s="8" t="s">
        <v>28</v>
      </c>
      <c r="D153" s="8" t="s">
        <v>41</v>
      </c>
      <c r="E153" s="8" t="s">
        <v>16</v>
      </c>
      <c r="F153" s="8" t="s">
        <v>9</v>
      </c>
      <c r="G153" s="8">
        <v>3</v>
      </c>
      <c r="H153" s="13">
        <v>1450.33</v>
      </c>
      <c r="I153" s="13">
        <v>4350.99</v>
      </c>
      <c r="J153" s="8" t="s">
        <v>39</v>
      </c>
    </row>
    <row r="154" spans="1:10" x14ac:dyDescent="0.45">
      <c r="A154" s="8">
        <v>1171</v>
      </c>
      <c r="B154" s="12">
        <v>46222</v>
      </c>
      <c r="C154" s="8" t="s">
        <v>28</v>
      </c>
      <c r="D154" s="8" t="s">
        <v>52</v>
      </c>
      <c r="E154" s="8" t="s">
        <v>48</v>
      </c>
      <c r="F154" s="8" t="s">
        <v>10</v>
      </c>
      <c r="G154" s="8">
        <v>2</v>
      </c>
      <c r="H154" s="13">
        <v>92.5</v>
      </c>
      <c r="I154" s="13">
        <v>185</v>
      </c>
      <c r="J154" s="8" t="s">
        <v>39</v>
      </c>
    </row>
    <row r="155" spans="1:10" x14ac:dyDescent="0.45">
      <c r="A155" s="8">
        <v>1102</v>
      </c>
      <c r="B155" s="12">
        <v>46223</v>
      </c>
      <c r="C155" s="8" t="s">
        <v>26</v>
      </c>
      <c r="D155" s="8" t="s">
        <v>54</v>
      </c>
      <c r="E155" s="8" t="s">
        <v>17</v>
      </c>
      <c r="F155" s="8" t="s">
        <v>8</v>
      </c>
      <c r="G155" s="8">
        <v>6</v>
      </c>
      <c r="H155" s="13">
        <v>1111.8</v>
      </c>
      <c r="I155" s="13">
        <v>6670.8</v>
      </c>
      <c r="J155" s="8" t="s">
        <v>39</v>
      </c>
    </row>
    <row r="156" spans="1:10" x14ac:dyDescent="0.45">
      <c r="A156" s="8">
        <v>1135</v>
      </c>
      <c r="B156" s="12">
        <v>46223</v>
      </c>
      <c r="C156" s="8" t="s">
        <v>27</v>
      </c>
      <c r="D156" s="8" t="s">
        <v>51</v>
      </c>
      <c r="E156" s="8" t="s">
        <v>16</v>
      </c>
      <c r="F156" s="8" t="s">
        <v>9</v>
      </c>
      <c r="G156" s="8">
        <v>3</v>
      </c>
      <c r="H156" s="13">
        <v>1492.43</v>
      </c>
      <c r="I156" s="13">
        <v>4477.29</v>
      </c>
      <c r="J156" s="8" t="s">
        <v>39</v>
      </c>
    </row>
    <row r="157" spans="1:10" x14ac:dyDescent="0.45">
      <c r="A157" s="8">
        <v>1137</v>
      </c>
      <c r="B157" s="12">
        <v>46223</v>
      </c>
      <c r="C157" s="8" t="s">
        <v>26</v>
      </c>
      <c r="D157" s="8" t="s">
        <v>40</v>
      </c>
      <c r="E157" s="8" t="s">
        <v>46</v>
      </c>
      <c r="F157" s="8" t="s">
        <v>9</v>
      </c>
      <c r="G157" s="8">
        <v>8</v>
      </c>
      <c r="H157" s="13">
        <v>178.88</v>
      </c>
      <c r="I157" s="13">
        <v>1431.04</v>
      </c>
      <c r="J157" s="8" t="s">
        <v>47</v>
      </c>
    </row>
    <row r="158" spans="1:10" x14ac:dyDescent="0.45">
      <c r="A158" s="8">
        <v>1166</v>
      </c>
      <c r="B158" s="12">
        <v>46223</v>
      </c>
      <c r="C158" s="8" t="s">
        <v>24</v>
      </c>
      <c r="D158" s="8" t="s">
        <v>52</v>
      </c>
      <c r="E158" s="8" t="s">
        <v>45</v>
      </c>
      <c r="F158" s="8" t="s">
        <v>10</v>
      </c>
      <c r="G158" s="8">
        <v>3</v>
      </c>
      <c r="H158" s="13">
        <v>203.18</v>
      </c>
      <c r="I158" s="13">
        <v>609.54</v>
      </c>
      <c r="J158" s="8" t="s">
        <v>47</v>
      </c>
    </row>
    <row r="159" spans="1:10" x14ac:dyDescent="0.45">
      <c r="A159" s="8">
        <v>1133</v>
      </c>
      <c r="B159" s="12">
        <v>46224</v>
      </c>
      <c r="C159" s="8" t="s">
        <v>27</v>
      </c>
      <c r="D159" s="8" t="s">
        <v>44</v>
      </c>
      <c r="E159" s="8" t="s">
        <v>18</v>
      </c>
      <c r="F159" s="8" t="s">
        <v>11</v>
      </c>
      <c r="G159" s="8">
        <v>5</v>
      </c>
      <c r="H159" s="13">
        <v>1008.21</v>
      </c>
      <c r="I159" s="13">
        <v>5041.05</v>
      </c>
      <c r="J159" s="8" t="s">
        <v>39</v>
      </c>
    </row>
    <row r="160" spans="1:10" x14ac:dyDescent="0.45">
      <c r="A160" s="8">
        <v>1147</v>
      </c>
      <c r="B160" s="12">
        <v>46224</v>
      </c>
      <c r="C160" s="8" t="s">
        <v>27</v>
      </c>
      <c r="D160" s="8" t="s">
        <v>44</v>
      </c>
      <c r="E160" s="8" t="s">
        <v>48</v>
      </c>
      <c r="F160" s="8" t="s">
        <v>10</v>
      </c>
      <c r="G160" s="8">
        <v>2</v>
      </c>
      <c r="H160" s="13">
        <v>90.52</v>
      </c>
      <c r="I160" s="13">
        <v>181.04</v>
      </c>
      <c r="J160" s="8" t="s">
        <v>47</v>
      </c>
    </row>
    <row r="161" spans="1:10" x14ac:dyDescent="0.45">
      <c r="A161" s="8">
        <v>1149</v>
      </c>
      <c r="B161" s="12">
        <v>46224</v>
      </c>
      <c r="C161" s="8" t="s">
        <v>25</v>
      </c>
      <c r="D161" s="8" t="s">
        <v>49</v>
      </c>
      <c r="E161" s="8" t="s">
        <v>19</v>
      </c>
      <c r="F161" s="8" t="s">
        <v>9</v>
      </c>
      <c r="G161" s="8">
        <v>8</v>
      </c>
      <c r="H161" s="13">
        <v>334.31</v>
      </c>
      <c r="I161" s="13">
        <v>2674.48</v>
      </c>
      <c r="J161" s="8" t="s">
        <v>47</v>
      </c>
    </row>
    <row r="162" spans="1:10" x14ac:dyDescent="0.45">
      <c r="A162" s="8">
        <v>1175</v>
      </c>
      <c r="B162" s="12">
        <v>46224</v>
      </c>
      <c r="C162" s="8" t="s">
        <v>26</v>
      </c>
      <c r="D162" s="8" t="s">
        <v>51</v>
      </c>
      <c r="E162" s="8" t="s">
        <v>45</v>
      </c>
      <c r="F162" s="8" t="s">
        <v>10</v>
      </c>
      <c r="G162" s="8">
        <v>11</v>
      </c>
      <c r="H162" s="13">
        <v>201.54</v>
      </c>
      <c r="I162" s="13">
        <v>2216.94</v>
      </c>
      <c r="J162" s="8" t="s">
        <v>39</v>
      </c>
    </row>
    <row r="163" spans="1:10" x14ac:dyDescent="0.45">
      <c r="A163" s="8">
        <v>1125</v>
      </c>
      <c r="B163" s="12">
        <v>46225</v>
      </c>
      <c r="C163" s="8" t="s">
        <v>26</v>
      </c>
      <c r="D163" s="8" t="s">
        <v>54</v>
      </c>
      <c r="E163" s="8" t="s">
        <v>48</v>
      </c>
      <c r="F163" s="8" t="s">
        <v>10</v>
      </c>
      <c r="G163" s="8">
        <v>2</v>
      </c>
      <c r="H163" s="13">
        <v>95.73</v>
      </c>
      <c r="I163" s="13">
        <v>191.46</v>
      </c>
      <c r="J163" s="8" t="s">
        <v>42</v>
      </c>
    </row>
    <row r="164" spans="1:10" x14ac:dyDescent="0.45">
      <c r="A164" s="8">
        <v>1172</v>
      </c>
      <c r="B164" s="12">
        <v>46225</v>
      </c>
      <c r="C164" s="8" t="s">
        <v>24</v>
      </c>
      <c r="D164" s="8" t="s">
        <v>51</v>
      </c>
      <c r="E164" s="8" t="s">
        <v>17</v>
      </c>
      <c r="F164" s="8" t="s">
        <v>8</v>
      </c>
      <c r="G164" s="8">
        <v>1</v>
      </c>
      <c r="H164" s="13">
        <v>1204.96</v>
      </c>
      <c r="I164" s="13">
        <v>1204.96</v>
      </c>
      <c r="J164" s="8" t="s">
        <v>42</v>
      </c>
    </row>
    <row r="165" spans="1:10" x14ac:dyDescent="0.45">
      <c r="A165" s="8">
        <v>1181</v>
      </c>
      <c r="B165" s="12">
        <v>46225</v>
      </c>
      <c r="C165" s="8" t="s">
        <v>28</v>
      </c>
      <c r="D165" s="8" t="s">
        <v>52</v>
      </c>
      <c r="E165" s="8" t="s">
        <v>46</v>
      </c>
      <c r="F165" s="8" t="s">
        <v>9</v>
      </c>
      <c r="G165" s="8">
        <v>2</v>
      </c>
      <c r="H165" s="13">
        <v>179.19</v>
      </c>
      <c r="I165" s="13">
        <v>358.38</v>
      </c>
      <c r="J165" s="8" t="s">
        <v>39</v>
      </c>
    </row>
    <row r="166" spans="1:10" x14ac:dyDescent="0.45">
      <c r="A166" s="8">
        <v>1121</v>
      </c>
      <c r="B166" s="12">
        <v>46226</v>
      </c>
      <c r="C166" s="8" t="s">
        <v>27</v>
      </c>
      <c r="D166" s="8" t="s">
        <v>54</v>
      </c>
      <c r="E166" s="8" t="s">
        <v>53</v>
      </c>
      <c r="F166" s="8" t="s">
        <v>8</v>
      </c>
      <c r="G166" s="8">
        <v>3</v>
      </c>
      <c r="H166" s="13">
        <v>44.11</v>
      </c>
      <c r="I166" s="13">
        <v>132.33000000000001</v>
      </c>
      <c r="J166" s="8" t="s">
        <v>39</v>
      </c>
    </row>
    <row r="167" spans="1:10" x14ac:dyDescent="0.45">
      <c r="A167" s="8">
        <v>1122</v>
      </c>
      <c r="B167" s="12">
        <v>46226</v>
      </c>
      <c r="C167" s="8" t="s">
        <v>25</v>
      </c>
      <c r="D167" s="8" t="s">
        <v>49</v>
      </c>
      <c r="E167" s="8" t="s">
        <v>16</v>
      </c>
      <c r="F167" s="8" t="s">
        <v>9</v>
      </c>
      <c r="G167" s="8">
        <v>1</v>
      </c>
      <c r="H167" s="13">
        <v>1457.74</v>
      </c>
      <c r="I167" s="13">
        <v>1457.74</v>
      </c>
      <c r="J167" s="8" t="s">
        <v>42</v>
      </c>
    </row>
    <row r="168" spans="1:10" x14ac:dyDescent="0.45">
      <c r="A168" s="8">
        <v>1136</v>
      </c>
      <c r="B168" s="12">
        <v>46226</v>
      </c>
      <c r="C168" s="8" t="s">
        <v>24</v>
      </c>
      <c r="D168" s="8" t="s">
        <v>51</v>
      </c>
      <c r="E168" s="8" t="s">
        <v>19</v>
      </c>
      <c r="F168" s="8" t="s">
        <v>9</v>
      </c>
      <c r="G168" s="8">
        <v>8</v>
      </c>
      <c r="H168" s="13">
        <v>326.04000000000002</v>
      </c>
      <c r="I168" s="13">
        <v>2608.3200000000002</v>
      </c>
      <c r="J168" s="8" t="s">
        <v>47</v>
      </c>
    </row>
    <row r="169" spans="1:10" x14ac:dyDescent="0.45">
      <c r="A169" s="8">
        <v>1142</v>
      </c>
      <c r="B169" s="12">
        <v>46226</v>
      </c>
      <c r="C169" s="8" t="s">
        <v>24</v>
      </c>
      <c r="D169" s="8" t="s">
        <v>51</v>
      </c>
      <c r="E169" s="8" t="s">
        <v>19</v>
      </c>
      <c r="F169" s="8" t="s">
        <v>9</v>
      </c>
      <c r="G169" s="8">
        <v>3</v>
      </c>
      <c r="H169" s="13">
        <v>314.55</v>
      </c>
      <c r="I169" s="13">
        <v>943.65</v>
      </c>
      <c r="J169" s="8" t="s">
        <v>47</v>
      </c>
    </row>
    <row r="170" spans="1:10" x14ac:dyDescent="0.45">
      <c r="A170" s="8">
        <v>1109</v>
      </c>
      <c r="B170" s="12">
        <v>46227</v>
      </c>
      <c r="C170" s="8" t="s">
        <v>27</v>
      </c>
      <c r="D170" s="8" t="s">
        <v>51</v>
      </c>
      <c r="E170" s="8" t="s">
        <v>48</v>
      </c>
      <c r="F170" s="8" t="s">
        <v>10</v>
      </c>
      <c r="G170" s="8">
        <v>8</v>
      </c>
      <c r="H170" s="13">
        <v>94.39</v>
      </c>
      <c r="I170" s="13">
        <v>755.12</v>
      </c>
      <c r="J170" s="8" t="s">
        <v>39</v>
      </c>
    </row>
    <row r="171" spans="1:10" x14ac:dyDescent="0.45">
      <c r="A171" s="8">
        <v>1163</v>
      </c>
      <c r="B171" s="12">
        <v>46228</v>
      </c>
      <c r="C171" s="8" t="s">
        <v>26</v>
      </c>
      <c r="D171" s="8" t="s">
        <v>49</v>
      </c>
      <c r="E171" s="8" t="s">
        <v>19</v>
      </c>
      <c r="F171" s="8" t="s">
        <v>9</v>
      </c>
      <c r="G171" s="8">
        <v>7</v>
      </c>
      <c r="H171" s="13">
        <v>335.31</v>
      </c>
      <c r="I171" s="13">
        <v>2347.17</v>
      </c>
      <c r="J171" s="8" t="s">
        <v>42</v>
      </c>
    </row>
    <row r="172" spans="1:10" x14ac:dyDescent="0.45">
      <c r="A172" s="8">
        <v>1152</v>
      </c>
      <c r="B172" s="12">
        <v>46229</v>
      </c>
      <c r="C172" s="8" t="s">
        <v>24</v>
      </c>
      <c r="D172" s="8" t="s">
        <v>38</v>
      </c>
      <c r="E172" s="8" t="s">
        <v>45</v>
      </c>
      <c r="F172" s="8" t="s">
        <v>10</v>
      </c>
      <c r="G172" s="8">
        <v>2</v>
      </c>
      <c r="H172" s="13">
        <v>205.3</v>
      </c>
      <c r="I172" s="13">
        <v>410.6</v>
      </c>
      <c r="J172" s="8" t="s">
        <v>47</v>
      </c>
    </row>
    <row r="173" spans="1:10" x14ac:dyDescent="0.45">
      <c r="A173" s="8">
        <v>1164</v>
      </c>
      <c r="B173" s="12">
        <v>46229</v>
      </c>
      <c r="C173" s="8" t="s">
        <v>26</v>
      </c>
      <c r="D173" s="8" t="s">
        <v>51</v>
      </c>
      <c r="E173" s="8" t="s">
        <v>17</v>
      </c>
      <c r="F173" s="8" t="s">
        <v>8</v>
      </c>
      <c r="G173" s="8">
        <v>1</v>
      </c>
      <c r="H173" s="13">
        <v>1097.79</v>
      </c>
      <c r="I173" s="13">
        <v>1097.79</v>
      </c>
      <c r="J173" s="8" t="s">
        <v>39</v>
      </c>
    </row>
    <row r="174" spans="1:10" x14ac:dyDescent="0.45">
      <c r="A174" s="8">
        <v>1177</v>
      </c>
      <c r="B174" s="12">
        <v>46229</v>
      </c>
      <c r="C174" s="8" t="s">
        <v>27</v>
      </c>
      <c r="D174" s="8" t="s">
        <v>38</v>
      </c>
      <c r="E174" s="8" t="s">
        <v>20</v>
      </c>
      <c r="F174" s="8" t="s">
        <v>12</v>
      </c>
      <c r="G174" s="8">
        <v>3</v>
      </c>
      <c r="H174" s="13">
        <v>252.22</v>
      </c>
      <c r="I174" s="13">
        <v>756.66</v>
      </c>
      <c r="J174" s="8" t="s">
        <v>47</v>
      </c>
    </row>
    <row r="175" spans="1:10" x14ac:dyDescent="0.45">
      <c r="A175" s="8">
        <v>1180</v>
      </c>
      <c r="B175" s="12">
        <v>46229</v>
      </c>
      <c r="C175" s="8" t="s">
        <v>24</v>
      </c>
      <c r="D175" s="8" t="s">
        <v>43</v>
      </c>
      <c r="E175" s="8" t="s">
        <v>20</v>
      </c>
      <c r="F175" s="8" t="s">
        <v>12</v>
      </c>
      <c r="G175" s="8">
        <v>9</v>
      </c>
      <c r="H175" s="13">
        <v>256.51</v>
      </c>
      <c r="I175" s="13">
        <v>2308.59</v>
      </c>
      <c r="J175" s="8" t="s">
        <v>39</v>
      </c>
    </row>
    <row r="176" spans="1:10" x14ac:dyDescent="0.45">
      <c r="A176" s="8">
        <v>1104</v>
      </c>
      <c r="B176" s="12">
        <v>46230</v>
      </c>
      <c r="C176" s="8" t="s">
        <v>25</v>
      </c>
      <c r="D176" s="8" t="s">
        <v>41</v>
      </c>
      <c r="E176" s="8" t="s">
        <v>18</v>
      </c>
      <c r="F176" s="8" t="s">
        <v>11</v>
      </c>
      <c r="G176" s="8">
        <v>2</v>
      </c>
      <c r="H176" s="13">
        <v>989.03</v>
      </c>
      <c r="I176" s="13">
        <v>1978.06</v>
      </c>
      <c r="J176" s="8" t="s">
        <v>47</v>
      </c>
    </row>
    <row r="177" spans="1:10" x14ac:dyDescent="0.45">
      <c r="A177" s="8">
        <v>1120</v>
      </c>
      <c r="B177" s="12">
        <v>46230</v>
      </c>
      <c r="C177" s="8" t="s">
        <v>25</v>
      </c>
      <c r="D177" s="8" t="s">
        <v>51</v>
      </c>
      <c r="E177" s="8" t="s">
        <v>50</v>
      </c>
      <c r="F177" s="8" t="s">
        <v>9</v>
      </c>
      <c r="G177" s="8">
        <v>5</v>
      </c>
      <c r="H177" s="13">
        <v>68.12</v>
      </c>
      <c r="I177" s="13">
        <v>340.6</v>
      </c>
      <c r="J177" s="8" t="s">
        <v>42</v>
      </c>
    </row>
    <row r="178" spans="1:10" x14ac:dyDescent="0.45">
      <c r="A178" s="8">
        <v>1144</v>
      </c>
      <c r="B178" s="12">
        <v>46230</v>
      </c>
      <c r="C178" s="8" t="s">
        <v>26</v>
      </c>
      <c r="D178" s="8" t="s">
        <v>55</v>
      </c>
      <c r="E178" s="8" t="s">
        <v>19</v>
      </c>
      <c r="F178" s="8" t="s">
        <v>9</v>
      </c>
      <c r="G178" s="8">
        <v>7</v>
      </c>
      <c r="H178" s="13">
        <v>331.68</v>
      </c>
      <c r="I178" s="13">
        <v>2321.7600000000002</v>
      </c>
      <c r="J178" s="8" t="s">
        <v>39</v>
      </c>
    </row>
    <row r="179" spans="1:10" x14ac:dyDescent="0.45">
      <c r="A179" s="8">
        <v>1132</v>
      </c>
      <c r="B179" s="12">
        <v>46231</v>
      </c>
      <c r="C179" s="8" t="s">
        <v>24</v>
      </c>
      <c r="D179" s="8" t="s">
        <v>41</v>
      </c>
      <c r="E179" s="8" t="s">
        <v>17</v>
      </c>
      <c r="F179" s="8" t="s">
        <v>8</v>
      </c>
      <c r="G179" s="8">
        <v>12</v>
      </c>
      <c r="H179" s="13">
        <v>1125.01</v>
      </c>
      <c r="I179" s="13">
        <v>13500.12</v>
      </c>
      <c r="J179" s="8" t="s">
        <v>47</v>
      </c>
    </row>
    <row r="180" spans="1:10" x14ac:dyDescent="0.45">
      <c r="A180" s="8">
        <v>1170</v>
      </c>
      <c r="B180" s="12">
        <v>46231</v>
      </c>
      <c r="C180" s="8" t="s">
        <v>28</v>
      </c>
      <c r="D180" s="8" t="s">
        <v>44</v>
      </c>
      <c r="E180" s="8" t="s">
        <v>20</v>
      </c>
      <c r="F180" s="8" t="s">
        <v>12</v>
      </c>
      <c r="G180" s="8">
        <v>12</v>
      </c>
      <c r="H180" s="13">
        <v>253.5</v>
      </c>
      <c r="I180" s="13">
        <v>3042</v>
      </c>
      <c r="J180" s="8" t="s">
        <v>39</v>
      </c>
    </row>
    <row r="181" spans="1:10" x14ac:dyDescent="0.45">
      <c r="A181" s="8">
        <v>1095</v>
      </c>
      <c r="B181" s="12">
        <v>46233</v>
      </c>
      <c r="C181" s="8" t="s">
        <v>24</v>
      </c>
      <c r="D181" s="8" t="s">
        <v>52</v>
      </c>
      <c r="E181" s="8" t="s">
        <v>45</v>
      </c>
      <c r="F181" s="8" t="s">
        <v>10</v>
      </c>
      <c r="G181" s="8">
        <v>10</v>
      </c>
      <c r="H181" s="13">
        <v>210.72</v>
      </c>
      <c r="I181" s="13">
        <v>2107.1999999999998</v>
      </c>
      <c r="J181" s="8" t="s">
        <v>47</v>
      </c>
    </row>
    <row r="182" spans="1:10" x14ac:dyDescent="0.45">
      <c r="A182" s="8">
        <v>1107</v>
      </c>
      <c r="B182" s="12">
        <v>46234</v>
      </c>
      <c r="C182" s="8" t="s">
        <v>28</v>
      </c>
      <c r="D182" s="8" t="s">
        <v>49</v>
      </c>
      <c r="E182" s="8" t="s">
        <v>20</v>
      </c>
      <c r="F182" s="8" t="s">
        <v>12</v>
      </c>
      <c r="G182" s="8">
        <v>8</v>
      </c>
      <c r="H182" s="13">
        <v>249.74</v>
      </c>
      <c r="I182" s="13">
        <v>1997.92</v>
      </c>
      <c r="J182" s="8" t="s">
        <v>47</v>
      </c>
    </row>
    <row r="183" spans="1:10" x14ac:dyDescent="0.45">
      <c r="A183" s="8">
        <v>1113</v>
      </c>
      <c r="B183" s="12">
        <v>46234</v>
      </c>
      <c r="C183" s="8" t="s">
        <v>25</v>
      </c>
      <c r="D183" s="8" t="s">
        <v>41</v>
      </c>
      <c r="E183" s="8" t="s">
        <v>17</v>
      </c>
      <c r="F183" s="8" t="s">
        <v>8</v>
      </c>
      <c r="G183" s="8">
        <v>9</v>
      </c>
      <c r="H183" s="13">
        <v>1093.67</v>
      </c>
      <c r="I183" s="13">
        <v>9843.0300000000007</v>
      </c>
      <c r="J183" s="8" t="s">
        <v>42</v>
      </c>
    </row>
    <row r="184" spans="1:10" x14ac:dyDescent="0.45">
      <c r="A184" s="8">
        <v>1169</v>
      </c>
      <c r="B184" s="12">
        <v>46234</v>
      </c>
      <c r="C184" s="8" t="s">
        <v>28</v>
      </c>
      <c r="D184" s="8" t="s">
        <v>52</v>
      </c>
      <c r="E184" s="8" t="s">
        <v>46</v>
      </c>
      <c r="F184" s="8" t="s">
        <v>9</v>
      </c>
      <c r="G184" s="8">
        <v>3</v>
      </c>
      <c r="H184" s="13">
        <v>172.33</v>
      </c>
      <c r="I184" s="13">
        <v>516.99</v>
      </c>
      <c r="J184" s="8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Datos_ERP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ALICIA GUADALUPE CARBALLO UICAB</cp:lastModifiedBy>
  <cp:revision>1</cp:revision>
  <dcterms:created xsi:type="dcterms:W3CDTF">2026-07-25T06:31:42Z</dcterms:created>
  <dcterms:modified xsi:type="dcterms:W3CDTF">2026-07-27T22:11:19Z</dcterms:modified>
  <dc:language>en-US</dc:language>
</cp:coreProperties>
</file>